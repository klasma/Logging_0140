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46225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46225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46225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46225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46225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46225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15912-2026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46225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12.9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Skogsödla</t>
        </is>
      </c>
      <c r="W10">
        <f>HYPERLINK("https://klasma.github.io/Logging_0140/artfynd/A 15912-2026 artfynd.xlsx", "A 15912-2026")</f>
        <v/>
      </c>
      <c r="X10">
        <f>HYPERLINK("https://klasma.github.io/Logging_0140/kartor/A 15912-2026 karta.png", "A 15912-2026")</f>
        <v/>
      </c>
      <c r="Y10">
        <f>HYPERLINK("https://klasma.github.io/Logging_0140/kartor_geotiff/A 15912-2026 georefererad karta.tif", "A 15912-2026")</f>
        <v/>
      </c>
      <c r="AA10">
        <f>HYPERLINK("https://klasma.github.io/Logging_0140/klagomål/A 15912-2026 FSC-klagomål.docx", "A 15912-2026")</f>
        <v/>
      </c>
      <c r="AB10">
        <f>HYPERLINK("https://klasma.github.io/Logging_0140/klagomålsmail/A 15912-2026 FSC-klagomål mail.docx", "A 15912-2026")</f>
        <v/>
      </c>
      <c r="AC10">
        <f>HYPERLINK("https://klasma.github.io/Logging_0140/tillsyn/A 15912-2026 tillsynsbegäran.docx", "A 15912-2026")</f>
        <v/>
      </c>
      <c r="AD10">
        <f>HYPERLINK("https://klasma.github.io/Logging_0140/tillsynsmail/A 15912-2026 tillsynsbegäran mail.docx", "A 15912-2026")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46225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46225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11388-2024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45372</v>
      </c>
      <c r="E13" s="1" t="n">
        <v>46225</v>
      </c>
      <c r="F13" t="inlineStr">
        <is>
          <t>STOCKHOLMS LÄN</t>
        </is>
      </c>
      <c r="G13" t="inlineStr">
        <is>
          <t>NYKVARN</t>
        </is>
      </c>
      <c r="I13" t="n">
        <v>4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3</v>
      </c>
      <c r="U13" t="n">
        <v>3</v>
      </c>
      <c r="V13" s="2" t="inlineStr">
        <is>
          <t>Igelkott</t>
        </is>
      </c>
      <c r="W13">
        <f>HYPERLINK("https://klasma.github.io/Logging_0140/artfynd/A 11388-2024 artfynd.xlsx", "A 11388-2024")</f>
        <v/>
      </c>
      <c r="X13">
        <f>HYPERLINK("https://klasma.github.io/Logging_0140/kartor/A 11388-2024 karta.png", "A 11388-2024")</f>
        <v/>
      </c>
      <c r="Y13">
        <f>HYPERLINK("https://klasma.github.io/Logging_0140/kartor_geotiff/A 11388-2024 georefererad karta.tif", "A 11388-2024")</f>
        <v/>
      </c>
      <c r="AA13">
        <f>HYPERLINK("https://klasma.github.io/Logging_0140/klagomål/A 11388-2024 FSC-klagomål.docx", "A 11388-2024")</f>
        <v/>
      </c>
      <c r="AB13">
        <f>HYPERLINK("https://klasma.github.io/Logging_0140/klagomålsmail/A 11388-2024 FSC-klagomål mail.docx", "A 11388-2024")</f>
        <v/>
      </c>
      <c r="AC13">
        <f>HYPERLINK("https://klasma.github.io/Logging_0140/tillsyn/A 11388-2024 tillsynsbegäran.docx", "A 11388-2024")</f>
        <v/>
      </c>
      <c r="AD13">
        <f>HYPERLINK("https://klasma.github.io/Logging_0140/tillsynsmail/A 11388-2024 tillsynsbegäran mail.docx", "A 11388-2024")</f>
        <v/>
      </c>
    </row>
    <row r="14" ht="15" customHeight="1">
      <c r="A14" t="inlineStr">
        <is>
          <t>A 25754-2023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45084</v>
      </c>
      <c r="E14" s="1" t="n">
        <v>46225</v>
      </c>
      <c r="F14" t="inlineStr">
        <is>
          <t>STOCKHOLMS LÄN</t>
        </is>
      </c>
      <c r="G14" t="inlineStr">
        <is>
          <t>NYKVARN</t>
        </is>
      </c>
      <c r="I14" t="n">
        <v>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Trana</t>
        </is>
      </c>
      <c r="W14">
        <f>HYPERLINK("https://klasma.github.io/Logging_0140/artfynd/A 25754-2023 artfynd.xlsx", "A 25754-2023")</f>
        <v/>
      </c>
      <c r="X14">
        <f>HYPERLINK("https://klasma.github.io/Logging_0140/kartor/A 25754-2023 karta.png", "A 25754-2023")</f>
        <v/>
      </c>
      <c r="Y14">
        <f>HYPERLINK("https://klasma.github.io/Logging_0140/kartor_geotiff/A 25754-2023 georefererad karta.tif", "A 25754-2023")</f>
        <v/>
      </c>
      <c r="AA14">
        <f>HYPERLINK("https://klasma.github.io/Logging_0140/klagomål/A 25754-2023 FSC-klagomål.docx", "A 25754-2023")</f>
        <v/>
      </c>
      <c r="AB14">
        <f>HYPERLINK("https://klasma.github.io/Logging_0140/klagomålsmail/A 25754-2023 FSC-klagomål mail.docx", "A 25754-2023")</f>
        <v/>
      </c>
      <c r="AC14">
        <f>HYPERLINK("https://klasma.github.io/Logging_0140/tillsyn/A 25754-2023 tillsynsbegäran.docx", "A 25754-2023")</f>
        <v/>
      </c>
      <c r="AD14">
        <f>HYPERLINK("https://klasma.github.io/Logging_0140/tillsynsmail/A 25754-2023 tillsynsbegäran mail.docx", "A 25754-2023")</f>
        <v/>
      </c>
      <c r="AE14">
        <f>HYPERLINK("https://klasma.github.io/Logging_0140/fåglar/A 25754-2023 prioriterade fågelarter.docx", "A 25754-2023")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46225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46225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46225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46225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46225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46225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46225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46225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46225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46225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46225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46225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46225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46225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46225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46225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46225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46225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46225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46225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46225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46225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46225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46225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46225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46225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46225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46225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46225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46225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46225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46225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46225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45989</v>
      </c>
      <c r="E48" s="1" t="n">
        <v>46225</v>
      </c>
      <c r="F48" t="inlineStr">
        <is>
          <t>STOCKHOLMS LÄN</t>
        </is>
      </c>
      <c r="G48" t="inlineStr">
        <is>
          <t>NYKVARN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46225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46225</v>
      </c>
      <c r="F50" t="inlineStr">
        <is>
          <t>STOCKHOLMS LÄN</t>
        </is>
      </c>
      <c r="G50" t="inlineStr">
        <is>
          <t>NYKVARN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45235</v>
      </c>
      <c r="E51" s="1" t="n">
        <v>46225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51813-2024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46225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45044</v>
      </c>
      <c r="E53" s="1" t="n">
        <v>46225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44713</v>
      </c>
      <c r="E54" s="1" t="n">
        <v>46225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46225</v>
      </c>
      <c r="F55" t="inlineStr">
        <is>
          <t>STOCKHOLMS LÄN</t>
        </is>
      </c>
      <c r="G55" t="inlineStr">
        <is>
          <t>NYKVARN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46225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44947-2021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46225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11.3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46225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46225</v>
      </c>
      <c r="F59" t="inlineStr">
        <is>
          <t>STOCKHOLMS LÄN</t>
        </is>
      </c>
      <c r="G59" t="inlineStr">
        <is>
          <t>NYKVARN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46225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32555-2023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45121</v>
      </c>
      <c r="E61" s="1" t="n">
        <v>46225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63592-2023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46225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17328-2025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45756</v>
      </c>
      <c r="E63" s="1" t="n">
        <v>46225</v>
      </c>
      <c r="F63" t="inlineStr">
        <is>
          <t>STOCKHOLMS LÄN</t>
        </is>
      </c>
      <c r="G63" t="inlineStr">
        <is>
          <t>NYKVARN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45274</v>
      </c>
      <c r="E64" s="1" t="n">
        <v>46225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45173</v>
      </c>
      <c r="E65" s="1" t="n">
        <v>46225</v>
      </c>
      <c r="F65" t="inlineStr">
        <is>
          <t>STOCKHOLMS LÄN</t>
        </is>
      </c>
      <c r="G65" t="inlineStr">
        <is>
          <t>NYKVARN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19903-2023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46225</v>
      </c>
      <c r="F66" t="inlineStr">
        <is>
          <t>STOCKHOLMS LÄN</t>
        </is>
      </c>
      <c r="G66" t="inlineStr">
        <is>
          <t>NYKVARN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46225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46225</v>
      </c>
      <c r="F68" t="inlineStr">
        <is>
          <t>STOCKHOLMS LÄN</t>
        </is>
      </c>
      <c r="G68" t="inlineStr">
        <is>
          <t>NYKVARN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46225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46225</v>
      </c>
      <c r="F70" t="inlineStr">
        <is>
          <t>STOCKHOLMS LÄN</t>
        </is>
      </c>
      <c r="G70" t="inlineStr">
        <is>
          <t>NYKVARN</t>
        </is>
      </c>
      <c r="H70" t="inlineStr">
        <is>
          <t>Kommuner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46225</v>
      </c>
      <c r="F71" t="inlineStr">
        <is>
          <t>STOCKHOLMS LÄN</t>
        </is>
      </c>
      <c r="G71" t="inlineStr">
        <is>
          <t>NYKVARN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46225</v>
      </c>
      <c r="F72" t="inlineStr">
        <is>
          <t>STOCKHOLMS LÄN</t>
        </is>
      </c>
      <c r="G72" t="inlineStr">
        <is>
          <t>NYKVARN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46225</v>
      </c>
      <c r="F73" t="inlineStr">
        <is>
          <t>STOCKHOLMS LÄN</t>
        </is>
      </c>
      <c r="G73" t="inlineStr">
        <is>
          <t>NYKVARN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46225</v>
      </c>
      <c r="F74" t="inlineStr">
        <is>
          <t>STOCKHOLMS LÄN</t>
        </is>
      </c>
      <c r="G74" t="inlineStr">
        <is>
          <t>NYKVARN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46225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46225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46225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46225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46225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46225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46225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46225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2026-07-22T01:34:28Z</dcterms:created>
  <dcterms:modified xmlns:dcterms="http://purl.org/dc/terms/" xmlns:xsi="http://www.w3.org/2001/XMLSchema-instance" xsi:type="dcterms:W3CDTF">2026-07-22T01:34:28Z</dcterms:modified>
</cp:coreProperties>
</file>