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46163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46163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46163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46163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46163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17009-2026</t>
        </is>
      </c>
      <c r="B10" s="1" t="n">
        <v>46114.43309027778</v>
      </c>
      <c r="C10" s="1" t="n">
        <v>46163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8.699999999999999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HYPERLINK("https://klasma.github.io/Logging_0140/artfynd/A 17009-2026 artfynd.xlsx", "A 17009-2026")</f>
        <v/>
      </c>
      <c r="T10">
        <f>HYPERLINK("https://klasma.github.io/Logging_0140/kartor/A 17009-2026 karta.png", "A 17009-2026")</f>
        <v/>
      </c>
      <c r="V10">
        <f>HYPERLINK("https://klasma.github.io/Logging_0140/klagomål/A 17009-2026 FSC-klagomål.docx", "A 17009-2026")</f>
        <v/>
      </c>
      <c r="W10">
        <f>HYPERLINK("https://klasma.github.io/Logging_0140/klagomålsmail/A 17009-2026 FSC-klagomål mail.docx", "A 17009-2026")</f>
        <v/>
      </c>
      <c r="X10">
        <f>HYPERLINK("https://klasma.github.io/Logging_0140/tillsyn/A 17009-2026 tillsynsbegäran.docx", "A 17009-2026")</f>
        <v/>
      </c>
      <c r="Y10">
        <f>HYPERLINK("https://klasma.github.io/Logging_0140/tillsynsmail/A 17009-2026 tillsynsbegäran mail.docx", "A 17009-2026")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46163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46163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46163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46163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46163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46163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46163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46163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46163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46163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46163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46163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46163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46163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46163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46163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46163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46163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46163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44969-2022</t>
        </is>
      </c>
      <c r="B30" s="1" t="n">
        <v>44841.58752314815</v>
      </c>
      <c r="C30" s="1" t="n">
        <v>46163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2172-2024</t>
        </is>
      </c>
      <c r="B31" s="1" t="n">
        <v>45309.63112268518</v>
      </c>
      <c r="C31" s="1" t="n">
        <v>46163</v>
      </c>
      <c r="D31" t="inlineStr">
        <is>
          <t>STOCKHOLMS LÄN</t>
        </is>
      </c>
      <c r="E31" t="inlineStr">
        <is>
          <t>NYKVARN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46163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53307-2023</t>
        </is>
      </c>
      <c r="B33" s="1" t="n">
        <v>45229</v>
      </c>
      <c r="C33" s="1" t="n">
        <v>46163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46163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46163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46163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25754-2023</t>
        </is>
      </c>
      <c r="B37" s="1" t="n">
        <v>45084</v>
      </c>
      <c r="C37" s="1" t="n">
        <v>46163</v>
      </c>
      <c r="D37" t="inlineStr">
        <is>
          <t>STOCKHOLMS LÄN</t>
        </is>
      </c>
      <c r="E37" t="inlineStr">
        <is>
          <t>NYKVARN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45121.43032407408</v>
      </c>
      <c r="C38" s="1" t="n">
        <v>46163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44910.59086805556</v>
      </c>
      <c r="C39" s="1" t="n">
        <v>46163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43230-2022</t>
        </is>
      </c>
      <c r="B40" s="1" t="n">
        <v>44834</v>
      </c>
      <c r="C40" s="1" t="n">
        <v>46163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44947-2021</t>
        </is>
      </c>
      <c r="B41" s="1" t="n">
        <v>44438.69939814815</v>
      </c>
      <c r="C41" s="1" t="n">
        <v>46163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36986-2025</t>
        </is>
      </c>
      <c r="B42" s="1" t="n">
        <v>45874.65056712963</v>
      </c>
      <c r="C42" s="1" t="n">
        <v>46163</v>
      </c>
      <c r="D42" t="inlineStr">
        <is>
          <t>STOCKHOLMS LÄN</t>
        </is>
      </c>
      <c r="E42" t="inlineStr">
        <is>
          <t>NYKVARN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46163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11045-2026</t>
        </is>
      </c>
      <c r="B44" s="1" t="n">
        <v>46079.58353009259</v>
      </c>
      <c r="C44" s="1" t="n">
        <v>46163</v>
      </c>
      <c r="D44" t="inlineStr">
        <is>
          <t>STOCKHOLMS LÄN</t>
        </is>
      </c>
      <c r="E44" t="inlineStr">
        <is>
          <t>NYKVARN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18780-2026</t>
        </is>
      </c>
      <c r="B45" s="1" t="n">
        <v>46128.58193287037</v>
      </c>
      <c r="C45" s="1" t="n">
        <v>46163</v>
      </c>
      <c r="D45" t="inlineStr">
        <is>
          <t>STOCKHOLMS LÄN</t>
        </is>
      </c>
      <c r="E45" t="inlineStr">
        <is>
          <t>NYKVARN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40168-2023</t>
        </is>
      </c>
      <c r="B46" s="1" t="n">
        <v>45169.38591435185</v>
      </c>
      <c r="C46" s="1" t="n">
        <v>46163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46163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19216-2026</t>
        </is>
      </c>
      <c r="B48" s="1" t="n">
        <v>46132.62922453704</v>
      </c>
      <c r="C48" s="1" t="n">
        <v>46163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19217-2026</t>
        </is>
      </c>
      <c r="B49" s="1" t="n">
        <v>46132.63274305555</v>
      </c>
      <c r="C49" s="1" t="n">
        <v>46163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24283-2022</t>
        </is>
      </c>
      <c r="B50" s="1" t="n">
        <v>44725.79453703704</v>
      </c>
      <c r="C50" s="1" t="n">
        <v>46163</v>
      </c>
      <c r="D50" t="inlineStr">
        <is>
          <t>STOCKHOLMS LÄN</t>
        </is>
      </c>
      <c r="E50" t="inlineStr">
        <is>
          <t>NYKVARN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8096-2023</t>
        </is>
      </c>
      <c r="B51" s="1" t="n">
        <v>44974.389375</v>
      </c>
      <c r="C51" s="1" t="n">
        <v>46163</v>
      </c>
      <c r="D51" t="inlineStr">
        <is>
          <t>STOCKHOLMS LÄN</t>
        </is>
      </c>
      <c r="E51" t="inlineStr">
        <is>
          <t>NYKVARN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54583-2023</t>
        </is>
      </c>
      <c r="B52" s="1" t="n">
        <v>45233</v>
      </c>
      <c r="C52" s="1" t="n">
        <v>46163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54670-2023</t>
        </is>
      </c>
      <c r="B53" s="1" t="n">
        <v>45235</v>
      </c>
      <c r="C53" s="1" t="n">
        <v>46163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17328-2025</t>
        </is>
      </c>
      <c r="B54" s="1" t="n">
        <v>45756.64081018518</v>
      </c>
      <c r="C54" s="1" t="n">
        <v>46163</v>
      </c>
      <c r="D54" t="inlineStr">
        <is>
          <t>STOCKHOLMS LÄN</t>
        </is>
      </c>
      <c r="E54" t="inlineStr">
        <is>
          <t>NYKVARN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56639-2023</t>
        </is>
      </c>
      <c r="B55" s="1" t="n">
        <v>45243.72300925926</v>
      </c>
      <c r="C55" s="1" t="n">
        <v>46163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46163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59348-2025</t>
        </is>
      </c>
      <c r="B57" s="1" t="n">
        <v>45989.40099537037</v>
      </c>
      <c r="C57" s="1" t="n">
        <v>46163</v>
      </c>
      <c r="D57" t="inlineStr">
        <is>
          <t>STOCKHOLMS LÄN</t>
        </is>
      </c>
      <c r="E57" t="inlineStr">
        <is>
          <t>NYKVARN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63400-2023</t>
        </is>
      </c>
      <c r="B58" s="1" t="n">
        <v>45274</v>
      </c>
      <c r="C58" s="1" t="n">
        <v>46163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15912-2026</t>
        </is>
      </c>
      <c r="B59" s="1" t="n">
        <v>46107.64332175926</v>
      </c>
      <c r="C59" s="1" t="n">
        <v>46163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46163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46163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46163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46163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50031-2023</t>
        </is>
      </c>
      <c r="B64" s="1" t="n">
        <v>45215.48474537037</v>
      </c>
      <c r="C64" s="1" t="n">
        <v>46163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46163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71540-2021</t>
        </is>
      </c>
      <c r="B66" s="1" t="n">
        <v>44540</v>
      </c>
      <c r="C66" s="1" t="n">
        <v>46163</v>
      </c>
      <c r="D66" t="inlineStr">
        <is>
          <t>STOCKHOLMS LÄN</t>
        </is>
      </c>
      <c r="E66" t="inlineStr">
        <is>
          <t>NYKVARN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46163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46163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39539-2023</t>
        </is>
      </c>
      <c r="B69" s="1" t="n">
        <v>45167</v>
      </c>
      <c r="C69" s="1" t="n">
        <v>46163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6876-2022</t>
        </is>
      </c>
      <c r="B70" s="1" t="n">
        <v>44602</v>
      </c>
      <c r="C70" s="1" t="n">
        <v>46163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46163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53337-2023</t>
        </is>
      </c>
      <c r="B72" s="1" t="n">
        <v>45229.63960648148</v>
      </c>
      <c r="C72" s="1" t="n">
        <v>46163</v>
      </c>
      <c r="D72" t="inlineStr">
        <is>
          <t>STOCKHOLMS LÄN</t>
        </is>
      </c>
      <c r="E72" t="inlineStr">
        <is>
          <t>NYKVARN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46163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46163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46163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46163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46163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46163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46163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46163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46163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26755-2025</t>
        </is>
      </c>
      <c r="B82" s="1" t="n">
        <v>45810.55623842592</v>
      </c>
      <c r="C82" s="1" t="n">
        <v>46163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28598-2025</t>
        </is>
      </c>
      <c r="B83" s="1" t="n">
        <v>45819.59659722223</v>
      </c>
      <c r="C83" s="1" t="n">
        <v>46163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28607-2025</t>
        </is>
      </c>
      <c r="B84" s="1" t="n">
        <v>45819.60226851852</v>
      </c>
      <c r="C84" s="1" t="n">
        <v>46163</v>
      </c>
      <c r="D84" t="inlineStr">
        <is>
          <t>STOCKHOLMS LÄN</t>
        </is>
      </c>
      <c r="E84" t="inlineStr">
        <is>
          <t>NYKVARN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2026-05-21T10:51:32Z</dcterms:created>
  <dcterms:modified xmlns:dcterms="http://purl.org/dc/terms/" xmlns:xsi="http://www.w3.org/2001/XMLSchema-instance" xsi:type="dcterms:W3CDTF">2026-05-21T10:51:32Z</dcterms:modified>
</cp:coreProperties>
</file>