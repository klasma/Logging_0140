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46321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46321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46321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46321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46321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46321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8285-2022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46321</v>
      </c>
      <c r="F10" t="inlineStr">
        <is>
          <t>STOCKHOLMS LÄN</t>
        </is>
      </c>
      <c r="G10" t="inlineStr">
        <is>
          <t>NYKVARN</t>
        </is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8285-2022 artfynd.xlsx", "A 8285-2022")</f>
        <v/>
      </c>
      <c r="X10">
        <f>HYPERLINK("https://klasma.github.io/Logging_0140/kartor/A 8285-2022 karta.png", "A 8285-2022")</f>
        <v/>
      </c>
      <c r="Y10">
        <f>HYPERLINK("https://klasma.github.io/Logging_0140/kartor_geotiff/A 8285-2022 georefererad karta.tif", "A 8285-2022")</f>
        <v/>
      </c>
      <c r="AA10">
        <f>HYPERLINK("https://klasma.github.io/Logging_0140/klagomål/A 8285-2022 FSC-klagomål.docx", "A 8285-2022")</f>
        <v/>
      </c>
      <c r="AB10">
        <f>HYPERLINK("https://klasma.github.io/Logging_0140/klagomålsmail/A 8285-2022 FSC-klagomål mail.docx", "A 8285-2022")</f>
        <v/>
      </c>
      <c r="AC10">
        <f>HYPERLINK("https://klasma.github.io/Logging_0140/tillsyn/A 8285-2022 tillsynsbegäran.docx", "A 8285-2022")</f>
        <v/>
      </c>
      <c r="AD10">
        <f>HYPERLINK("https://klasma.github.io/Logging_0140/tillsynsmail/A 8285-2022 tillsynsbegäran mail.docx", "A 8285-2022")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46321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46321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46321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46321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46321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39539-2023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45167</v>
      </c>
      <c r="E16" s="1" t="n">
        <v>46321</v>
      </c>
      <c r="F16" t="inlineStr">
        <is>
          <t>STOCKHOLMS LÄN</t>
        </is>
      </c>
      <c r="G16" t="inlineStr">
        <is>
          <t>NYKVARN</t>
        </is>
      </c>
      <c r="I16" t="n">
        <v>2.3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HYPERLINK("https://klasma.github.io/Logging_0140/artfynd/A 39539-2023 artfynd.xlsx", "A 39539-2023")</f>
        <v/>
      </c>
      <c r="X16">
        <f>HYPERLINK("https://klasma.github.io/Logging_0140/kartor/A 39539-2023 karta.png", "A 39539-2023")</f>
        <v/>
      </c>
      <c r="Y16">
        <f>HYPERLINK("https://klasma.github.io/Logging_0140/kartor_geotiff/A 39539-2023 georefererad karta.tif", "A 39539-2023")</f>
        <v/>
      </c>
      <c r="AA16">
        <f>HYPERLINK("https://klasma.github.io/Logging_0140/klagomål/A 39539-2023 FSC-klagomål.docx", "A 39539-2023")</f>
        <v/>
      </c>
      <c r="AB16">
        <f>HYPERLINK("https://klasma.github.io/Logging_0140/klagomålsmail/A 39539-2023 FSC-klagomål mail.docx", "A 39539-2023")</f>
        <v/>
      </c>
      <c r="AC16">
        <f>HYPERLINK("https://klasma.github.io/Logging_0140/tillsyn/A 39539-2023 tillsynsbegäran.docx", "A 39539-2023")</f>
        <v/>
      </c>
      <c r="AD16">
        <f>HYPERLINK("https://klasma.github.io/Logging_0140/tillsynsmail/A 39539-2023 tillsynsbegäran mail.docx", "A 39539-2023")</f>
        <v/>
      </c>
    </row>
    <row r="17" ht="15" customHeight="1">
      <c r="A17" t="inlineStr">
        <is>
          <t>A 41251-2026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46300</v>
      </c>
      <c r="E17" s="1" t="n">
        <v>46321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41251-2026 artfynd.xlsx", "A 41251-2026")</f>
        <v/>
      </c>
      <c r="X17">
        <f>HYPERLINK("https://klasma.github.io/Logging_0140/kartor/A 41251-2026 karta.png", "A 41251-2026")</f>
        <v/>
      </c>
      <c r="Y17">
        <f>HYPERLINK("https://klasma.github.io/Logging_0140/kartor_geotiff/A 41251-2026 georefererad karta.tif", "A 41251-2026")</f>
        <v/>
      </c>
      <c r="AA17">
        <f>HYPERLINK("https://klasma.github.io/Logging_0140/klagomål/A 41251-2026 FSC-klagomål.docx", "A 41251-2026")</f>
        <v/>
      </c>
      <c r="AB17">
        <f>HYPERLINK("https://klasma.github.io/Logging_0140/klagomålsmail/A 41251-2026 FSC-klagomål mail.docx", "A 41251-2026")</f>
        <v/>
      </c>
      <c r="AC17">
        <f>HYPERLINK("https://klasma.github.io/Logging_0140/tillsyn/A 41251-2026 tillsynsbegäran.docx", "A 41251-2026")</f>
        <v/>
      </c>
      <c r="AD17">
        <f>HYPERLINK("https://klasma.github.io/Logging_0140/tillsynsmail/A 41251-2026 tillsynsbegäran mail.docx", "A 41251-2026")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46321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11393-2022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44630</v>
      </c>
      <c r="E19" s="1" t="n">
        <v>46321</v>
      </c>
      <c r="F19" t="inlineStr">
        <is>
          <t>STOCKHOLMS LÄN</t>
        </is>
      </c>
      <c r="G19" t="inlineStr">
        <is>
          <t>NYKVARN</t>
        </is>
      </c>
      <c r="I19" t="n">
        <v>3.8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Björksplintborre</t>
        </is>
      </c>
      <c r="W19">
        <f>HYPERLINK("https://klasma.github.io/Logging_0140/artfynd/A 11393-2022 artfynd.xlsx", "A 11393-2022")</f>
        <v/>
      </c>
      <c r="X19">
        <f>HYPERLINK("https://klasma.github.io/Logging_0140/kartor/A 11393-2022 karta.png", "A 11393-2022")</f>
        <v/>
      </c>
      <c r="Y19">
        <f>HYPERLINK("https://klasma.github.io/Logging_0140/kartor_geotiff/A 11393-2022 georefererad karta.tif", "A 11393-2022")</f>
        <v/>
      </c>
      <c r="AA19">
        <f>HYPERLINK("https://klasma.github.io/Logging_0140/klagomål/A 11393-2022 FSC-klagomål.docx", "A 11393-2022")</f>
        <v/>
      </c>
      <c r="AB19">
        <f>HYPERLINK("https://klasma.github.io/Logging_0140/klagomålsmail/A 11393-2022 FSC-klagomål mail.docx", "A 11393-2022")</f>
        <v/>
      </c>
      <c r="AC19">
        <f>HYPERLINK("https://klasma.github.io/Logging_0140/tillsyn/A 11393-2022 tillsynsbegäran.docx", "A 11393-2022")</f>
        <v/>
      </c>
      <c r="AD19">
        <f>HYPERLINK("https://klasma.github.io/Logging_0140/tillsynsmail/A 11393-2022 tillsynsbegäran mail.docx", "A 11393-2022")</f>
        <v/>
      </c>
    </row>
    <row r="20" ht="15" customHeight="1">
      <c r="A20" t="inlineStr">
        <is>
          <t>A 11388-2024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45372</v>
      </c>
      <c r="E20" s="1" t="n">
        <v>46321</v>
      </c>
      <c r="F20" t="inlineStr">
        <is>
          <t>STOCKHOLMS LÄN</t>
        </is>
      </c>
      <c r="G20" t="inlineStr">
        <is>
          <t>NYKVARN</t>
        </is>
      </c>
      <c r="I20" t="n">
        <v>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3</v>
      </c>
      <c r="V20" s="2" t="inlineStr">
        <is>
          <t>Igelkott</t>
        </is>
      </c>
      <c r="W20">
        <f>HYPERLINK("https://klasma.github.io/Logging_0140/artfynd/A 11388-2024 artfynd.xlsx", "A 11388-2024")</f>
        <v/>
      </c>
      <c r="X20">
        <f>HYPERLINK("https://klasma.github.io/Logging_0140/kartor/A 11388-2024 karta.png", "A 11388-2024")</f>
        <v/>
      </c>
      <c r="Y20">
        <f>HYPERLINK("https://klasma.github.io/Logging_0140/kartor_geotiff/A 11388-2024 georefererad karta.tif", "A 11388-2024")</f>
        <v/>
      </c>
      <c r="AA20">
        <f>HYPERLINK("https://klasma.github.io/Logging_0140/klagomål/A 11388-2024 FSC-klagomål.docx", "A 11388-2024")</f>
        <v/>
      </c>
      <c r="AB20">
        <f>HYPERLINK("https://klasma.github.io/Logging_0140/klagomålsmail/A 11388-2024 FSC-klagomål mail.docx", "A 11388-2024")</f>
        <v/>
      </c>
      <c r="AC20">
        <f>HYPERLINK("https://klasma.github.io/Logging_0140/tillsyn/A 11388-2024 tillsynsbegäran.docx", "A 11388-2024")</f>
        <v/>
      </c>
      <c r="AD20">
        <f>HYPERLINK("https://klasma.github.io/Logging_0140/tillsynsmail/A 11388-2024 tillsynsbegäran mail.docx", "A 11388-2024")</f>
        <v/>
      </c>
    </row>
    <row r="21" ht="15" customHeight="1">
      <c r="A21" t="inlineStr">
        <is>
          <t>A 25754-2023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45084</v>
      </c>
      <c r="E21" s="1" t="n">
        <v>46321</v>
      </c>
      <c r="F21" t="inlineStr">
        <is>
          <t>STOCKHOLMS LÄN</t>
        </is>
      </c>
      <c r="G21" t="inlineStr">
        <is>
          <t>NYKVARN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HYPERLINK("https://klasma.github.io/Logging_0140/artfynd/A 25754-2023 artfynd.xlsx", "A 25754-2023")</f>
        <v/>
      </c>
      <c r="X21">
        <f>HYPERLINK("https://klasma.github.io/Logging_0140/kartor/A 25754-2023 karta.png", "A 25754-2023")</f>
        <v/>
      </c>
      <c r="Y21">
        <f>HYPERLINK("https://klasma.github.io/Logging_0140/kartor_geotiff/A 25754-2023 georefererad karta.tif", "A 25754-2023")</f>
        <v/>
      </c>
      <c r="AA21">
        <f>HYPERLINK("https://klasma.github.io/Logging_0140/klagomål/A 25754-2023 FSC-klagomål.docx", "A 25754-2023")</f>
        <v/>
      </c>
      <c r="AB21">
        <f>HYPERLINK("https://klasma.github.io/Logging_0140/klagomålsmail/A 25754-2023 FSC-klagomål mail.docx", "A 25754-2023")</f>
        <v/>
      </c>
      <c r="AC21">
        <f>HYPERLINK("https://klasma.github.io/Logging_0140/tillsyn/A 25754-2023 tillsynsbegäran.docx", "A 25754-2023")</f>
        <v/>
      </c>
      <c r="AD21">
        <f>HYPERLINK("https://klasma.github.io/Logging_0140/tillsynsmail/A 25754-2023 tillsynsbegäran mail.docx", "A 25754-2023")</f>
        <v/>
      </c>
      <c r="AE21">
        <f>HYPERLINK("https://klasma.github.io/Logging_0140/fåglar/A 25754-2023 prioriterade fågelarter.docx", "A 25754-2023")</f>
        <v/>
      </c>
    </row>
    <row r="22" ht="15" customHeight="1">
      <c r="A22" t="inlineStr">
        <is>
          <t>A 6876-2022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46321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HYPERLINK("https://klasma.github.io/Logging_0140/artfynd/A 6876-2022 artfynd.xlsx", "A 6876-2022")</f>
        <v/>
      </c>
      <c r="X22">
        <f>HYPERLINK("https://klasma.github.io/Logging_0140/kartor/A 6876-2022 karta.png", "A 6876-2022")</f>
        <v/>
      </c>
      <c r="Y22">
        <f>HYPERLINK("https://klasma.github.io/Logging_0140/kartor_geotiff/A 6876-2022 georefererad karta.tif", "A 6876-2022")</f>
        <v/>
      </c>
      <c r="AA22">
        <f>HYPERLINK("https://klasma.github.io/Logging_0140/klagomål/A 6876-2022 FSC-klagomål.docx", "A 6876-2022")</f>
        <v/>
      </c>
      <c r="AB22">
        <f>HYPERLINK("https://klasma.github.io/Logging_0140/klagomålsmail/A 6876-2022 FSC-klagomål mail.docx", "A 6876-2022")</f>
        <v/>
      </c>
      <c r="AC22">
        <f>HYPERLINK("https://klasma.github.io/Logging_0140/tillsyn/A 6876-2022 tillsynsbegäran.docx", "A 6876-2022")</f>
        <v/>
      </c>
      <c r="AD22">
        <f>HYPERLINK("https://klasma.github.io/Logging_0140/tillsynsmail/A 6876-2022 tillsynsbegäran mail.docx", "A 6876-2022")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46321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46321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46321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46321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46321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46321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46321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46321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46321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46321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46321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46321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46321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46321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46321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46321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46321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46321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46321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46321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44725</v>
      </c>
      <c r="E43" s="1" t="n">
        <v>46321</v>
      </c>
      <c r="F43" t="inlineStr">
        <is>
          <t>STOCKHOLMS LÄN</t>
        </is>
      </c>
      <c r="G43" t="inlineStr">
        <is>
          <t>NYKVARN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46321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46321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45874</v>
      </c>
      <c r="E46" s="1" t="n">
        <v>46321</v>
      </c>
      <c r="F46" t="inlineStr">
        <is>
          <t>STOCKHOLMS LÄN</t>
        </is>
      </c>
      <c r="G46" t="inlineStr">
        <is>
          <t>NYKVARN</t>
        </is>
      </c>
      <c r="I46" t="n">
        <v>10.6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46321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46321</v>
      </c>
      <c r="F48" t="inlineStr">
        <is>
          <t>STOCKHOLMS LÄN</t>
        </is>
      </c>
      <c r="G48" t="inlineStr">
        <is>
          <t>NYKVARN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44841</v>
      </c>
      <c r="E49" s="1" t="n">
        <v>46321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46321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46321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46321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46321</v>
      </c>
      <c r="F53" t="inlineStr">
        <is>
          <t>STOCKHOLMS LÄN</t>
        </is>
      </c>
      <c r="G53" t="inlineStr">
        <is>
          <t>NYKVARN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46321</v>
      </c>
      <c r="F54" t="inlineStr">
        <is>
          <t>STOCKHOLMS LÄN</t>
        </is>
      </c>
      <c r="G54" t="inlineStr">
        <is>
          <t>NYKVARN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46321</v>
      </c>
      <c r="F55" t="inlineStr">
        <is>
          <t>STOCKHOLMS LÄN</t>
        </is>
      </c>
      <c r="G55" t="inlineStr">
        <is>
          <t>NYKVARN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46321</v>
      </c>
      <c r="F56" t="inlineStr">
        <is>
          <t>STOCKHOLMS LÄN</t>
        </is>
      </c>
      <c r="G56" t="inlineStr">
        <is>
          <t>NYKVARN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46321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46254</v>
      </c>
      <c r="E58" s="1" t="n">
        <v>46321</v>
      </c>
      <c r="F58" t="inlineStr">
        <is>
          <t>STOCKHOLMS LÄN</t>
        </is>
      </c>
      <c r="G58" t="inlineStr">
        <is>
          <t>NYKVARN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46321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46321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46321</v>
      </c>
      <c r="F61" t="inlineStr">
        <is>
          <t>STOCKHOLMS LÄN</t>
        </is>
      </c>
      <c r="G61" t="inlineStr">
        <is>
          <t>NYKVARN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46321</v>
      </c>
      <c r="F62" t="inlineStr">
        <is>
          <t>STOCKHOLMS LÄN</t>
        </is>
      </c>
      <c r="G62" t="inlineStr">
        <is>
          <t>NYKVARN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46321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46321</v>
      </c>
      <c r="F64" t="inlineStr">
        <is>
          <t>STOCKHOLMS LÄN</t>
        </is>
      </c>
      <c r="G64" t="inlineStr">
        <is>
          <t>NYKVARN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37244-2026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46274</v>
      </c>
      <c r="E65" s="1" t="n">
        <v>46321</v>
      </c>
      <c r="F65" t="inlineStr">
        <is>
          <t>STOCKHOLMS LÄN</t>
        </is>
      </c>
      <c r="G65" t="inlineStr">
        <is>
          <t>NYKVARN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46321</v>
      </c>
      <c r="F66" t="inlineStr">
        <is>
          <t>STOCKHOLMS LÄN</t>
        </is>
      </c>
      <c r="G66" t="inlineStr">
        <is>
          <t>NYKVARN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37266-2026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46274</v>
      </c>
      <c r="E67" s="1" t="n">
        <v>46321</v>
      </c>
      <c r="F67" t="inlineStr">
        <is>
          <t>STOCKHOLMS LÄN</t>
        </is>
      </c>
      <c r="G67" t="inlineStr">
        <is>
          <t>NYKVARN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46321</v>
      </c>
      <c r="F68" t="inlineStr">
        <is>
          <t>STOCKHOLMS LÄN</t>
        </is>
      </c>
      <c r="G68" t="inlineStr">
        <is>
          <t>NYKVARN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46321</v>
      </c>
      <c r="F69" t="inlineStr">
        <is>
          <t>STOCKHOLMS LÄN</t>
        </is>
      </c>
      <c r="G69" t="inlineStr">
        <is>
          <t>NYKVARN</t>
        </is>
      </c>
      <c r="H69" t="inlineStr">
        <is>
          <t>Kyrkan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46321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46321</v>
      </c>
      <c r="F71" t="inlineStr">
        <is>
          <t>STOCKHOLMS LÄN</t>
        </is>
      </c>
      <c r="G71" t="inlineStr">
        <is>
          <t>NYKVARN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46321</v>
      </c>
      <c r="F72" t="inlineStr">
        <is>
          <t>STOCKHOLMS LÄN</t>
        </is>
      </c>
      <c r="G72" t="inlineStr">
        <is>
          <t>NYKVARN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46321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45044</v>
      </c>
      <c r="E74" s="1" t="n">
        <v>46321</v>
      </c>
      <c r="F74" t="inlineStr">
        <is>
          <t>STOCKHOLMS LÄN</t>
        </is>
      </c>
      <c r="G74" t="inlineStr">
        <is>
          <t>NYKVARN</t>
        </is>
      </c>
      <c r="H74" t="inlineStr">
        <is>
          <t>Kyrkan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46321</v>
      </c>
      <c r="F75" t="inlineStr">
        <is>
          <t>STOCKHOLMS LÄN</t>
        </is>
      </c>
      <c r="G75" t="inlineStr">
        <is>
          <t>NYKVARN</t>
        </is>
      </c>
      <c r="H75" t="inlineStr">
        <is>
          <t>Allmännings- och besparingsskogar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46321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63586-2023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46321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32555-2023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45121</v>
      </c>
      <c r="E78" s="1" t="n">
        <v>46321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63592-2023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45275</v>
      </c>
      <c r="E79" s="1" t="n">
        <v>46321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45756</v>
      </c>
      <c r="E80" s="1" t="n">
        <v>46321</v>
      </c>
      <c r="F80" t="inlineStr">
        <is>
          <t>STOCKHOLMS LÄN</t>
        </is>
      </c>
      <c r="G80" t="inlineStr">
        <is>
          <t>NYKVARN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46321</v>
      </c>
      <c r="F81" t="inlineStr">
        <is>
          <t>STOCKHOLMS LÄN</t>
        </is>
      </c>
      <c r="G81" t="inlineStr">
        <is>
          <t>NYKVARN</t>
        </is>
      </c>
      <c r="H81" t="inlineStr">
        <is>
          <t>Kommuner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45173</v>
      </c>
      <c r="E82" s="1" t="n">
        <v>46321</v>
      </c>
      <c r="F82" t="inlineStr">
        <is>
          <t>STOCKHOLMS LÄN</t>
        </is>
      </c>
      <c r="G82" t="inlineStr">
        <is>
          <t>NYKVARN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46321</v>
      </c>
      <c r="F83" t="inlineStr">
        <is>
          <t>STOCKHOLMS LÄN</t>
        </is>
      </c>
      <c r="G83" t="inlineStr">
        <is>
          <t>NYKVARN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46321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46321</v>
      </c>
      <c r="F85" t="inlineStr">
        <is>
          <t>STOCKHOLMS LÄN</t>
        </is>
      </c>
      <c r="G85" t="inlineStr">
        <is>
          <t>NYKVARN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44730</v>
      </c>
      <c r="E86" s="1" t="n">
        <v>46321</v>
      </c>
      <c r="F86" t="inlineStr">
        <is>
          <t>STOCKHOLMS LÄN</t>
        </is>
      </c>
      <c r="G86" t="inlineStr">
        <is>
          <t>NYKVARN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46321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46321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