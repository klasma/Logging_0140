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46052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46052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46052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46052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46052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46052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46052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46052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46052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46052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46052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46052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2423-2026</t>
        </is>
      </c>
      <c r="B14" s="1" t="n">
        <v>46034</v>
      </c>
      <c r="C14" s="1" t="n">
        <v>46052</v>
      </c>
      <c r="D14" t="inlineStr">
        <is>
          <t>STOCKHOLMS LÄN</t>
        </is>
      </c>
      <c r="E14" t="inlineStr">
        <is>
          <t>NYKVARN</t>
        </is>
      </c>
      <c r="G14" t="n">
        <v>11.8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HYPERLINK("https://klasma.github.io/Logging_0140/artfynd/A 2423-2026 artfynd.xlsx", "A 2423-2026")</f>
        <v/>
      </c>
      <c r="T14">
        <f>HYPERLINK("https://klasma.github.io/Logging_0140/kartor/A 2423-2026 karta.png", "A 2423-2026")</f>
        <v/>
      </c>
      <c r="U14">
        <f>HYPERLINK("https://klasma.github.io/Logging_0140/knärot/A 2423-2026 karta knärot.png", "A 2423-2026")</f>
        <v/>
      </c>
      <c r="V14">
        <f>HYPERLINK("https://klasma.github.io/Logging_0140/klagomål/A 2423-2026 FSC-klagomål.docx", "A 2423-2026")</f>
        <v/>
      </c>
      <c r="W14">
        <f>HYPERLINK("https://klasma.github.io/Logging_0140/klagomålsmail/A 2423-2026 FSC-klagomål mail.docx", "A 2423-2026")</f>
        <v/>
      </c>
      <c r="X14">
        <f>HYPERLINK("https://klasma.github.io/Logging_0140/tillsyn/A 2423-2026 tillsynsbegäran.docx", "A 2423-2026")</f>
        <v/>
      </c>
      <c r="Y14">
        <f>HYPERLINK("https://klasma.github.io/Logging_0140/tillsynsmail/A 2423-2026 tillsynsbegäran mail.docx", "A 2423-2026")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46052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46052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46052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46052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46052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46052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46052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46052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24281-2022</t>
        </is>
      </c>
      <c r="B23" s="1" t="n">
        <v>44725.78381944444</v>
      </c>
      <c r="C23" s="1" t="n">
        <v>46052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46052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44531-2022</t>
        </is>
      </c>
      <c r="B25" s="1" t="n">
        <v>44840</v>
      </c>
      <c r="C25" s="1" t="n">
        <v>46052</v>
      </c>
      <c r="D25" t="inlineStr">
        <is>
          <t>STOCKHOLMS LÄN</t>
        </is>
      </c>
      <c r="E25" t="inlineStr">
        <is>
          <t>NYKVARN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43922-2021</t>
        </is>
      </c>
      <c r="B26" s="1" t="n">
        <v>44434</v>
      </c>
      <c r="C26" s="1" t="n">
        <v>46052</v>
      </c>
      <c r="D26" t="inlineStr">
        <is>
          <t>STOCKHOLMS LÄN</t>
        </is>
      </c>
      <c r="E26" t="inlineStr">
        <is>
          <t>NYKVARN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73212-2021</t>
        </is>
      </c>
      <c r="B27" s="1" t="n">
        <v>44550</v>
      </c>
      <c r="C27" s="1" t="n">
        <v>46052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46052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52878-2022</t>
        </is>
      </c>
      <c r="B29" s="1" t="n">
        <v>44872</v>
      </c>
      <c r="C29" s="1" t="n">
        <v>46052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17328-2025</t>
        </is>
      </c>
      <c r="B30" s="1" t="n">
        <v>45756.64081018518</v>
      </c>
      <c r="C30" s="1" t="n">
        <v>46052</v>
      </c>
      <c r="D30" t="inlineStr">
        <is>
          <t>STOCKHOLMS LÄN</t>
        </is>
      </c>
      <c r="E30" t="inlineStr">
        <is>
          <t>NYKVARN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46052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56639-2023</t>
        </is>
      </c>
      <c r="B32" s="1" t="n">
        <v>45243.72300925926</v>
      </c>
      <c r="C32" s="1" t="n">
        <v>46052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63400-2023</t>
        </is>
      </c>
      <c r="B33" s="1" t="n">
        <v>45274</v>
      </c>
      <c r="C33" s="1" t="n">
        <v>46052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46052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23284-2025</t>
        </is>
      </c>
      <c r="B35" s="1" t="n">
        <v>45791.57525462963</v>
      </c>
      <c r="C35" s="1" t="n">
        <v>46052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23655-2025</t>
        </is>
      </c>
      <c r="B36" s="1" t="n">
        <v>45792</v>
      </c>
      <c r="C36" s="1" t="n">
        <v>46052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19487-2023</t>
        </is>
      </c>
      <c r="B37" s="1" t="n">
        <v>45050</v>
      </c>
      <c r="C37" s="1" t="n">
        <v>46052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44969-2022</t>
        </is>
      </c>
      <c r="B38" s="1" t="n">
        <v>44841.58752314815</v>
      </c>
      <c r="C38" s="1" t="n">
        <v>46052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2172-2024</t>
        </is>
      </c>
      <c r="B39" s="1" t="n">
        <v>45309.63112268518</v>
      </c>
      <c r="C39" s="1" t="n">
        <v>46052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18793-2023</t>
        </is>
      </c>
      <c r="B40" s="1" t="n">
        <v>45044</v>
      </c>
      <c r="C40" s="1" t="n">
        <v>46052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50020-2023</t>
        </is>
      </c>
      <c r="B41" s="1" t="n">
        <v>45215.46996527778</v>
      </c>
      <c r="C41" s="1" t="n">
        <v>46052</v>
      </c>
      <c r="D41" t="inlineStr">
        <is>
          <t>STOCKHOLMS LÄN</t>
        </is>
      </c>
      <c r="E41" t="inlineStr">
        <is>
          <t>NYKVARN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63586-2023</t>
        </is>
      </c>
      <c r="B42" s="1" t="n">
        <v>45275</v>
      </c>
      <c r="C42" s="1" t="n">
        <v>46052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50031-2023</t>
        </is>
      </c>
      <c r="B43" s="1" t="n">
        <v>45215.48474537037</v>
      </c>
      <c r="C43" s="1" t="n">
        <v>46052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25278-2022</t>
        </is>
      </c>
      <c r="B44" s="1" t="n">
        <v>44730</v>
      </c>
      <c r="C44" s="1" t="n">
        <v>46052</v>
      </c>
      <c r="D44" t="inlineStr">
        <is>
          <t>STOCKHOLMS LÄN</t>
        </is>
      </c>
      <c r="E44" t="inlineStr">
        <is>
          <t>NYKVARN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46052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46052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7926-2023</t>
        </is>
      </c>
      <c r="B47" s="1" t="n">
        <v>44973.6502662037</v>
      </c>
      <c r="C47" s="1" t="n">
        <v>46052</v>
      </c>
      <c r="D47" t="inlineStr">
        <is>
          <t>STOCKHOLMS LÄN</t>
        </is>
      </c>
      <c r="E47" t="inlineStr">
        <is>
          <t>NYKVARN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26763-2025</t>
        </is>
      </c>
      <c r="B48" s="1" t="n">
        <v>45810.56418981482</v>
      </c>
      <c r="C48" s="1" t="n">
        <v>46052</v>
      </c>
      <c r="D48" t="inlineStr">
        <is>
          <t>STOCKHOLMS LÄN</t>
        </is>
      </c>
      <c r="E48" t="inlineStr">
        <is>
          <t>NYKVARN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22529-2022</t>
        </is>
      </c>
      <c r="B49" s="1" t="n">
        <v>44713</v>
      </c>
      <c r="C49" s="1" t="n">
        <v>46052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26755-2025</t>
        </is>
      </c>
      <c r="B50" s="1" t="n">
        <v>45810.55623842592</v>
      </c>
      <c r="C50" s="1" t="n">
        <v>46052</v>
      </c>
      <c r="D50" t="inlineStr">
        <is>
          <t>STOCKHOLMS LÄN</t>
        </is>
      </c>
      <c r="E50" t="inlineStr">
        <is>
          <t>NYKVARN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38535-2025</t>
        </is>
      </c>
      <c r="B51" s="1" t="n">
        <v>45884.41943287037</v>
      </c>
      <c r="C51" s="1" t="n">
        <v>46052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18848-2024</t>
        </is>
      </c>
      <c r="B52" s="1" t="n">
        <v>45426.68278935185</v>
      </c>
      <c r="C52" s="1" t="n">
        <v>46052</v>
      </c>
      <c r="D52" t="inlineStr">
        <is>
          <t>STOCKHOLMS LÄN</t>
        </is>
      </c>
      <c r="E52" t="inlineStr">
        <is>
          <t>NYKVARN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53307-2023</t>
        </is>
      </c>
      <c r="B53" s="1" t="n">
        <v>45229</v>
      </c>
      <c r="C53" s="1" t="n">
        <v>46052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28598-2025</t>
        </is>
      </c>
      <c r="B54" s="1" t="n">
        <v>45819.59659722223</v>
      </c>
      <c r="C54" s="1" t="n">
        <v>46052</v>
      </c>
      <c r="D54" t="inlineStr">
        <is>
          <t>STOCKHOLMS LÄN</t>
        </is>
      </c>
      <c r="E54" t="inlineStr">
        <is>
          <t>NYKVARN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28607-2025</t>
        </is>
      </c>
      <c r="B55" s="1" t="n">
        <v>45819.60226851852</v>
      </c>
      <c r="C55" s="1" t="n">
        <v>46052</v>
      </c>
      <c r="D55" t="inlineStr">
        <is>
          <t>STOCKHOLMS LÄN</t>
        </is>
      </c>
      <c r="E55" t="inlineStr">
        <is>
          <t>NYKVARN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44602.69712962963</v>
      </c>
      <c r="C56" s="1" t="n">
        <v>46052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39539-2023</t>
        </is>
      </c>
      <c r="B57" s="1" t="n">
        <v>45167</v>
      </c>
      <c r="C57" s="1" t="n">
        <v>46052</v>
      </c>
      <c r="D57" t="inlineStr">
        <is>
          <t>STOCKHOLMS LÄN</t>
        </is>
      </c>
      <c r="E57" t="inlineStr">
        <is>
          <t>NYKVARN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23152-2021</t>
        </is>
      </c>
      <c r="B58" s="1" t="n">
        <v>44332</v>
      </c>
      <c r="C58" s="1" t="n">
        <v>46052</v>
      </c>
      <c r="D58" t="inlineStr">
        <is>
          <t>STOCKHOLMS LÄN</t>
        </is>
      </c>
      <c r="E58" t="inlineStr">
        <is>
          <t>NYKVARN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46052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25754-2023</t>
        </is>
      </c>
      <c r="B60" s="1" t="n">
        <v>45084</v>
      </c>
      <c r="C60" s="1" t="n">
        <v>46052</v>
      </c>
      <c r="D60" t="inlineStr">
        <is>
          <t>STOCKHOLMS LÄN</t>
        </is>
      </c>
      <c r="E60" t="inlineStr">
        <is>
          <t>NYKVARN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46052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60324-2022</t>
        </is>
      </c>
      <c r="B62" s="1" t="n">
        <v>44910.59086805556</v>
      </c>
      <c r="C62" s="1" t="n">
        <v>46052</v>
      </c>
      <c r="D62" t="inlineStr">
        <is>
          <t>STOCKHOLMS LÄN</t>
        </is>
      </c>
      <c r="E62" t="inlineStr">
        <is>
          <t>NYKVARN</t>
        </is>
      </c>
      <c r="F62" t="inlineStr">
        <is>
          <t>Kyrkan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46052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53337-2023</t>
        </is>
      </c>
      <c r="B64" s="1" t="n">
        <v>45229.63960648148</v>
      </c>
      <c r="C64" s="1" t="n">
        <v>46052</v>
      </c>
      <c r="D64" t="inlineStr">
        <is>
          <t>STOCKHOLMS LÄN</t>
        </is>
      </c>
      <c r="E64" t="inlineStr">
        <is>
          <t>NYKVARN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43230-2022</t>
        </is>
      </c>
      <c r="B65" s="1" t="n">
        <v>44834</v>
      </c>
      <c r="C65" s="1" t="n">
        <v>46052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44947-2021</t>
        </is>
      </c>
      <c r="B66" s="1" t="n">
        <v>44438.69939814815</v>
      </c>
      <c r="C66" s="1" t="n">
        <v>46052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11430-2022</t>
        </is>
      </c>
      <c r="B67" s="1" t="n">
        <v>44630.5968287037</v>
      </c>
      <c r="C67" s="1" t="n">
        <v>46052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51813-2024</t>
        </is>
      </c>
      <c r="B68" s="1" t="n">
        <v>45607.48734953703</v>
      </c>
      <c r="C68" s="1" t="n">
        <v>46052</v>
      </c>
      <c r="D68" t="inlineStr">
        <is>
          <t>STOCKHOLMS LÄN</t>
        </is>
      </c>
      <c r="E68" t="inlineStr">
        <is>
          <t>NYKVARN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20711-2021</t>
        </is>
      </c>
      <c r="B69" s="1" t="n">
        <v>44316</v>
      </c>
      <c r="C69" s="1" t="n">
        <v>46052</v>
      </c>
      <c r="D69" t="inlineStr">
        <is>
          <t>STOCKHOLMS LÄN</t>
        </is>
      </c>
      <c r="E69" t="inlineStr">
        <is>
          <t>NYKVARN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46052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40168-2023</t>
        </is>
      </c>
      <c r="B71" s="1" t="n">
        <v>45169.38591435185</v>
      </c>
      <c r="C71" s="1" t="n">
        <v>46052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41681-2023</t>
        </is>
      </c>
      <c r="B72" s="1" t="n">
        <v>45173</v>
      </c>
      <c r="C72" s="1" t="n">
        <v>46052</v>
      </c>
      <c r="D72" t="inlineStr">
        <is>
          <t>STOCKHOLMS LÄN</t>
        </is>
      </c>
      <c r="E72" t="inlineStr">
        <is>
          <t>NYKVARN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63592-2023</t>
        </is>
      </c>
      <c r="B73" s="1" t="n">
        <v>45275</v>
      </c>
      <c r="C73" s="1" t="n">
        <v>46052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36986-2025</t>
        </is>
      </c>
      <c r="B74" s="1" t="n">
        <v>45874.65056712963</v>
      </c>
      <c r="C74" s="1" t="n">
        <v>46052</v>
      </c>
      <c r="D74" t="inlineStr">
        <is>
          <t>STOCKHOLMS LÄN</t>
        </is>
      </c>
      <c r="E74" t="inlineStr">
        <is>
          <t>NYKVARN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46052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8096-2023</t>
        </is>
      </c>
      <c r="B76" s="1" t="n">
        <v>44974.389375</v>
      </c>
      <c r="C76" s="1" t="n">
        <v>46052</v>
      </c>
      <c r="D76" t="inlineStr">
        <is>
          <t>STOCKHOLMS LÄN</t>
        </is>
      </c>
      <c r="E76" t="inlineStr">
        <is>
          <t>NYKVARN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46052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46052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54583-2023</t>
        </is>
      </c>
      <c r="B79" s="1" t="n">
        <v>45233</v>
      </c>
      <c r="C79" s="1" t="n">
        <v>46052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54670-2023</t>
        </is>
      </c>
      <c r="B80" s="1" t="n">
        <v>45235</v>
      </c>
      <c r="C80" s="1" t="n">
        <v>46052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59342-2025</t>
        </is>
      </c>
      <c r="B81" s="1" t="n">
        <v>45989.38784722222</v>
      </c>
      <c r="C81" s="1" t="n">
        <v>46052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59348-2025</t>
        </is>
      </c>
      <c r="B82" s="1" t="n">
        <v>45989.40099537037</v>
      </c>
      <c r="C82" s="1" t="n">
        <v>46052</v>
      </c>
      <c r="D82" t="inlineStr">
        <is>
          <t>STOCKHOLMS LÄN</t>
        </is>
      </c>
      <c r="E82" t="inlineStr">
        <is>
          <t>NYKVARN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2026-01-30T10:58:13Z</dcterms:created>
  <dcterms:modified xmlns:dcterms="http://purl.org/dc/terms/" xmlns:xsi="http://www.w3.org/2001/XMLSchema-instance" xsi:type="dcterms:W3CDTF">2026-01-30T10:58:13Z</dcterms:modified>
</cp:coreProperties>
</file>