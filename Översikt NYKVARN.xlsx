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46224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46224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46224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23279-2025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45791</v>
      </c>
      <c r="E7" s="1" t="n">
        <v>46224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HYPERLINK("https://klasma.github.io/Logging_0140/artfynd/A 23279-2025 artfynd.xlsx", "A 23279-2025")</f>
        <v/>
      </c>
      <c r="X7">
        <f>HYPERLINK("https://klasma.github.io/Logging_0140/kartor/A 23279-2025 karta.png", "A 23279-2025")</f>
        <v/>
      </c>
      <c r="Y7">
        <f>HYPERLINK("https://klasma.github.io/Logging_0140/kartor_geotiff/A 23279-2025 georefererad karta.tif", "A 23279-2025")</f>
        <v/>
      </c>
      <c r="AA7">
        <f>HYPERLINK("https://klasma.github.io/Logging_0140/klagomål/A 23279-2025 FSC-klagomål.docx", "A 23279-2025")</f>
        <v/>
      </c>
      <c r="AB7">
        <f>HYPERLINK("https://klasma.github.io/Logging_0140/klagomålsmail/A 23279-2025 FSC-klagomål mail.docx", "A 23279-2025")</f>
        <v/>
      </c>
      <c r="AC7">
        <f>HYPERLINK("https://klasma.github.io/Logging_0140/tillsyn/A 23279-2025 tillsynsbegäran.docx", "A 23279-2025")</f>
        <v/>
      </c>
      <c r="AD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46224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Igelkott</t>
        </is>
      </c>
      <c r="W8">
        <f>HYPERLINK("https://klasma.github.io/Logging_0140/artfynd/A 11388-2024 artfynd.xlsx", "A 11388-2024")</f>
        <v/>
      </c>
      <c r="X8">
        <f>HYPERLINK("https://klasma.github.io/Logging_0140/kartor/A 11388-2024 karta.png", "A 11388-2024")</f>
        <v/>
      </c>
      <c r="Y8">
        <f>HYPERLINK("https://klasma.github.io/Logging_0140/kartor_geotiff/A 11388-2024 georefererad karta.tif", "A 11388-2024")</f>
        <v/>
      </c>
      <c r="AA8">
        <f>HYPERLINK("https://klasma.github.io/Logging_0140/klagomål/A 11388-2024 FSC-klagomål.docx", "A 11388-2024")</f>
        <v/>
      </c>
      <c r="AB8">
        <f>HYPERLINK("https://klasma.github.io/Logging_0140/klagomålsmail/A 11388-2024 FSC-klagomål mail.docx", "A 11388-2024")</f>
        <v/>
      </c>
      <c r="AC8">
        <f>HYPERLINK("https://klasma.github.io/Logging_0140/tillsyn/A 11388-2024 tillsynsbegäran.docx", "A 11388-2024")</f>
        <v/>
      </c>
      <c r="AD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46224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46224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46224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46224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46224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46224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46224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46224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46224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46224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46224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46224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46224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46224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46224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46224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46224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46224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46224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46224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46224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46224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46224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46224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46224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46224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46224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46224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46224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46224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23655-2025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45792</v>
      </c>
      <c r="E39" s="1" t="n">
        <v>46224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46224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44969-2022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46224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45309</v>
      </c>
      <c r="E42" s="1" t="n">
        <v>46224</v>
      </c>
      <c r="F42" t="inlineStr">
        <is>
          <t>STOCKHOLMS LÄN</t>
        </is>
      </c>
      <c r="G42" t="inlineStr">
        <is>
          <t>NYKVARN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51787-2021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46224</v>
      </c>
      <c r="F43" t="inlineStr">
        <is>
          <t>STOCKHOLMS LÄN</t>
        </is>
      </c>
      <c r="G43" t="inlineStr">
        <is>
          <t>NYKVARN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46224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46224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32555-2023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45121</v>
      </c>
      <c r="E46" s="1" t="n">
        <v>46224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46224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46224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46224</v>
      </c>
      <c r="F49" t="inlineStr">
        <is>
          <t>STOCKHOLMS LÄN</t>
        </is>
      </c>
      <c r="G49" t="inlineStr">
        <is>
          <t>NYKVARN</t>
        </is>
      </c>
      <c r="H49" t="inlineStr">
        <is>
          <t>Allmännings- och besparingsskogar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45989</v>
      </c>
      <c r="E50" s="1" t="n">
        <v>46224</v>
      </c>
      <c r="F50" t="inlineStr">
        <is>
          <t>STOCKHOLMS LÄN</t>
        </is>
      </c>
      <c r="G50" t="inlineStr">
        <is>
          <t>NYKVARN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11430-2022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44630</v>
      </c>
      <c r="E51" s="1" t="n">
        <v>46224</v>
      </c>
      <c r="F51" t="inlineStr">
        <is>
          <t>STOCKHOLMS LÄN</t>
        </is>
      </c>
      <c r="G51" t="inlineStr">
        <is>
          <t>NYKVARN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45169</v>
      </c>
      <c r="E52" s="1" t="n">
        <v>46224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41681-2023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45173</v>
      </c>
      <c r="E53" s="1" t="n">
        <v>46224</v>
      </c>
      <c r="F53" t="inlineStr">
        <is>
          <t>STOCKHOLMS LÄN</t>
        </is>
      </c>
      <c r="G53" t="inlineStr">
        <is>
          <t>NYKVARN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46224</v>
      </c>
      <c r="F54" t="inlineStr">
        <is>
          <t>STOCKHOLMS LÄN</t>
        </is>
      </c>
      <c r="G54" t="inlineStr">
        <is>
          <t>NYKVARN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46224</v>
      </c>
      <c r="F55" t="inlineStr">
        <is>
          <t>STOCKHOLMS LÄN</t>
        </is>
      </c>
      <c r="G55" t="inlineStr">
        <is>
          <t>NYKVARN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46224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45235</v>
      </c>
      <c r="E57" s="1" t="n">
        <v>46224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46224</v>
      </c>
      <c r="F58" t="inlineStr">
        <is>
          <t>STOCKHOLMS LÄN</t>
        </is>
      </c>
      <c r="G58" t="inlineStr">
        <is>
          <t>NYKVARN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46224</v>
      </c>
      <c r="F59" t="inlineStr">
        <is>
          <t>STOCKHOLMS LÄN</t>
        </is>
      </c>
      <c r="G59" t="inlineStr">
        <is>
          <t>NYKVARN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46224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46224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46224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19487-2023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45050</v>
      </c>
      <c r="E63" s="1" t="n">
        <v>46224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45044</v>
      </c>
      <c r="E64" s="1" t="n">
        <v>46224</v>
      </c>
      <c r="F64" t="inlineStr">
        <is>
          <t>STOCKHOLMS LÄN</t>
        </is>
      </c>
      <c r="G64" t="inlineStr">
        <is>
          <t>NYKVARN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46224</v>
      </c>
      <c r="F65" t="inlineStr">
        <is>
          <t>STOCKHOLMS LÄN</t>
        </is>
      </c>
      <c r="G65" t="inlineStr">
        <is>
          <t>NYKVARN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63586-2023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45275</v>
      </c>
      <c r="E66" s="1" t="n">
        <v>46224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46224</v>
      </c>
      <c r="F67" t="inlineStr">
        <is>
          <t>STOCKHOLMS LÄN</t>
        </is>
      </c>
      <c r="G67" t="inlineStr">
        <is>
          <t>NYKVARN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44730</v>
      </c>
      <c r="E68" s="1" t="n">
        <v>46224</v>
      </c>
      <c r="F68" t="inlineStr">
        <is>
          <t>STOCKHOLMS LÄN</t>
        </is>
      </c>
      <c r="G68" t="inlineStr">
        <is>
          <t>NYKVARN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46224</v>
      </c>
      <c r="F69" t="inlineStr">
        <is>
          <t>STOCKHOLMS LÄN</t>
        </is>
      </c>
      <c r="G69" t="inlineStr">
        <is>
          <t>NYKVARN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46224</v>
      </c>
      <c r="F70" t="inlineStr">
        <is>
          <t>STOCKHOLMS LÄN</t>
        </is>
      </c>
      <c r="G70" t="inlineStr">
        <is>
          <t>NYKVARN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46224</v>
      </c>
      <c r="F71" t="inlineStr">
        <is>
          <t>STOCKHOLMS LÄN</t>
        </is>
      </c>
      <c r="G71" t="inlineStr">
        <is>
          <t>NYKVARN</t>
        </is>
      </c>
      <c r="H71" t="inlineStr">
        <is>
          <t>Allmännings- och besparingsskogar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19903-2023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45054</v>
      </c>
      <c r="E72" s="1" t="n">
        <v>46224</v>
      </c>
      <c r="F72" t="inlineStr">
        <is>
          <t>STOCKHOLMS LÄN</t>
        </is>
      </c>
      <c r="G72" t="inlineStr">
        <is>
          <t>NYKVARN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53337-2023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46224</v>
      </c>
      <c r="F73" t="inlineStr">
        <is>
          <t>STOCKHOLMS LÄN</t>
        </is>
      </c>
      <c r="G73" t="inlineStr">
        <is>
          <t>NYKVARN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46224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46224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63592-2023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45275</v>
      </c>
      <c r="E76" s="1" t="n">
        <v>46224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46171</v>
      </c>
      <c r="E77" s="1" t="n">
        <v>46224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46224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46224</v>
      </c>
      <c r="F79" t="inlineStr">
        <is>
          <t>STOCKHOLMS LÄN</t>
        </is>
      </c>
      <c r="G79" t="inlineStr">
        <is>
          <t>NYKVARN</t>
        </is>
      </c>
      <c r="H79" t="inlineStr">
        <is>
          <t>Allmännings- och besparingsskogar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46224</v>
      </c>
      <c r="F80" t="inlineStr">
        <is>
          <t>STOCKHOLMS LÄN</t>
        </is>
      </c>
      <c r="G80" t="inlineStr">
        <is>
          <t>NYKVARN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46224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46224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