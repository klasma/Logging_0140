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46158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46158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46158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46158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46158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46158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2423-2026</t>
        </is>
      </c>
      <c r="B8" s="1" t="n">
        <v>46034</v>
      </c>
      <c r="C8" s="1" t="n">
        <v>46158</v>
      </c>
      <c r="D8" t="inlineStr">
        <is>
          <t>STOCKHOLMS LÄN</t>
        </is>
      </c>
      <c r="E8" t="inlineStr">
        <is>
          <t>NYKVARN</t>
        </is>
      </c>
      <c r="G8" t="n">
        <v>11.8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HYPERLINK("https://klasma.github.io/Logging_0140/artfynd/A 2423-2026 artfynd.xlsx", "A 2423-2026")</f>
        <v/>
      </c>
      <c r="T8">
        <f>HYPERLINK("https://klasma.github.io/Logging_0140/kartor/A 2423-2026 karta.png", "A 2423-2026")</f>
        <v/>
      </c>
      <c r="U8">
        <f>HYPERLINK("https://klasma.github.io/Logging_0140/knärot/A 2423-2026 karta knärot.png", "A 2423-2026")</f>
        <v/>
      </c>
      <c r="V8">
        <f>HYPERLINK("https://klasma.github.io/Logging_0140/klagomål/A 2423-2026 FSC-klagomål.docx", "A 2423-2026")</f>
        <v/>
      </c>
      <c r="W8">
        <f>HYPERLINK("https://klasma.github.io/Logging_0140/klagomålsmail/A 2423-2026 FSC-klagomål mail.docx", "A 2423-2026")</f>
        <v/>
      </c>
      <c r="X8">
        <f>HYPERLINK("https://klasma.github.io/Logging_0140/tillsyn/A 2423-2026 tillsynsbegäran.docx", "A 2423-2026")</f>
        <v/>
      </c>
      <c r="Y8">
        <f>HYPERLINK("https://klasma.github.io/Logging_0140/tillsynsmail/A 2423-2026 tillsynsbegäran mail.docx", "A 2423-2026")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46158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46158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46158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17009-2026</t>
        </is>
      </c>
      <c r="B12" s="1" t="n">
        <v>46114.43309027778</v>
      </c>
      <c r="C12" s="1" t="n">
        <v>46158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8.699999999999999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HYPERLINK("https://klasma.github.io/Logging_0140/artfynd/A 17009-2026 artfynd.xlsx", "A 17009-2026")</f>
        <v/>
      </c>
      <c r="T12">
        <f>HYPERLINK("https://klasma.github.io/Logging_0140/kartor/A 17009-2026 karta.png", "A 17009-2026")</f>
        <v/>
      </c>
      <c r="V12">
        <f>HYPERLINK("https://klasma.github.io/Logging_0140/klagomål/A 17009-2026 FSC-klagomål.docx", "A 17009-2026")</f>
        <v/>
      </c>
      <c r="W12">
        <f>HYPERLINK("https://klasma.github.io/Logging_0140/klagomålsmail/A 17009-2026 FSC-klagomål mail.docx", "A 17009-2026")</f>
        <v/>
      </c>
      <c r="X12">
        <f>HYPERLINK("https://klasma.github.io/Logging_0140/tillsyn/A 17009-2026 tillsynsbegäran.docx", "A 17009-2026")</f>
        <v/>
      </c>
      <c r="Y12">
        <f>HYPERLINK("https://klasma.github.io/Logging_0140/tillsynsmail/A 17009-2026 tillsynsbegäran mail.docx", "A 17009-2026")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46158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46158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46158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46158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46158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46158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46158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46158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46158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46158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46158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46158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46158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46158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46158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46158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46158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46158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46158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46158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46158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46158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23284-2025</t>
        </is>
      </c>
      <c r="B35" s="1" t="n">
        <v>45791.57525462963</v>
      </c>
      <c r="C35" s="1" t="n">
        <v>46158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46158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46158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46158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46158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71540-2021</t>
        </is>
      </c>
      <c r="B40" s="1" t="n">
        <v>44540</v>
      </c>
      <c r="C40" s="1" t="n">
        <v>46158</v>
      </c>
      <c r="D40" t="inlineStr">
        <is>
          <t>STOCKHOLMS LÄN</t>
        </is>
      </c>
      <c r="E40" t="inlineStr">
        <is>
          <t>NYKVARN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60324-2022</t>
        </is>
      </c>
      <c r="B41" s="1" t="n">
        <v>44910.59086805556</v>
      </c>
      <c r="C41" s="1" t="n">
        <v>46158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26755-2025</t>
        </is>
      </c>
      <c r="B42" s="1" t="n">
        <v>45810.55623842592</v>
      </c>
      <c r="C42" s="1" t="n">
        <v>46158</v>
      </c>
      <c r="D42" t="inlineStr">
        <is>
          <t>STOCKHOLMS LÄN</t>
        </is>
      </c>
      <c r="E42" t="inlineStr">
        <is>
          <t>NYKVARN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26763-2025</t>
        </is>
      </c>
      <c r="B43" s="1" t="n">
        <v>45810.56418981482</v>
      </c>
      <c r="C43" s="1" t="n">
        <v>46158</v>
      </c>
      <c r="D43" t="inlineStr">
        <is>
          <t>STOCKHOLMS LÄN</t>
        </is>
      </c>
      <c r="E43" t="inlineStr">
        <is>
          <t>NYKVARN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46158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46158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46158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46158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46158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54670-2023</t>
        </is>
      </c>
      <c r="B49" s="1" t="n">
        <v>45235</v>
      </c>
      <c r="C49" s="1" t="n">
        <v>46158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51813-2024</t>
        </is>
      </c>
      <c r="B50" s="1" t="n">
        <v>45607.48734953703</v>
      </c>
      <c r="C50" s="1" t="n">
        <v>46158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18793-2023</t>
        </is>
      </c>
      <c r="B51" s="1" t="n">
        <v>45044</v>
      </c>
      <c r="C51" s="1" t="n">
        <v>46158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22529-2022</t>
        </is>
      </c>
      <c r="B52" s="1" t="n">
        <v>44713</v>
      </c>
      <c r="C52" s="1" t="n">
        <v>46158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51787-2021</t>
        </is>
      </c>
      <c r="B53" s="1" t="n">
        <v>44462</v>
      </c>
      <c r="C53" s="1" t="n">
        <v>46158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46158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44438.69939814815</v>
      </c>
      <c r="C55" s="1" t="n">
        <v>46158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46158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46158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59348-2025</t>
        </is>
      </c>
      <c r="B58" s="1" t="n">
        <v>45989.40099537037</v>
      </c>
      <c r="C58" s="1" t="n">
        <v>46158</v>
      </c>
      <c r="D58" t="inlineStr">
        <is>
          <t>STOCKHOLMS LÄN</t>
        </is>
      </c>
      <c r="E58" t="inlineStr">
        <is>
          <t>NYKVARN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11045-2026</t>
        </is>
      </c>
      <c r="B59" s="1" t="n">
        <v>46079.58353009259</v>
      </c>
      <c r="C59" s="1" t="n">
        <v>46158</v>
      </c>
      <c r="D59" t="inlineStr">
        <is>
          <t>STOCKHOLMS LÄN</t>
        </is>
      </c>
      <c r="E59" t="inlineStr">
        <is>
          <t>NYKVARN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46158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32555-2023</t>
        </is>
      </c>
      <c r="B61" s="1" t="n">
        <v>45121.43032407408</v>
      </c>
      <c r="C61" s="1" t="n">
        <v>46158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18780-2026</t>
        </is>
      </c>
      <c r="B62" s="1" t="n">
        <v>46128.58193287037</v>
      </c>
      <c r="C62" s="1" t="n">
        <v>46158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19216-2026</t>
        </is>
      </c>
      <c r="B63" s="1" t="n">
        <v>46132.62922453704</v>
      </c>
      <c r="C63" s="1" t="n">
        <v>46158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19217-2026</t>
        </is>
      </c>
      <c r="B64" s="1" t="n">
        <v>46132.63274305555</v>
      </c>
      <c r="C64" s="1" t="n">
        <v>46158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46158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6876-2022</t>
        </is>
      </c>
      <c r="B66" s="1" t="n">
        <v>44602</v>
      </c>
      <c r="C66" s="1" t="n">
        <v>46158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15912-2026</t>
        </is>
      </c>
      <c r="B67" s="1" t="n">
        <v>46107.64332175926</v>
      </c>
      <c r="C67" s="1" t="n">
        <v>46158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17328-2025</t>
        </is>
      </c>
      <c r="B68" s="1" t="n">
        <v>45756.64081018518</v>
      </c>
      <c r="C68" s="1" t="n">
        <v>46158</v>
      </c>
      <c r="D68" t="inlineStr">
        <is>
          <t>STOCKHOLMS LÄN</t>
        </is>
      </c>
      <c r="E68" t="inlineStr">
        <is>
          <t>NYKVARN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46158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41681-2023</t>
        </is>
      </c>
      <c r="B70" s="1" t="n">
        <v>45173</v>
      </c>
      <c r="C70" s="1" t="n">
        <v>46158</v>
      </c>
      <c r="D70" t="inlineStr">
        <is>
          <t>STOCKHOLMS LÄN</t>
        </is>
      </c>
      <c r="E70" t="inlineStr">
        <is>
          <t>NYKVARN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46158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46158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46158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46158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46158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52878-2022</t>
        </is>
      </c>
      <c r="B76" s="1" t="n">
        <v>44872</v>
      </c>
      <c r="C76" s="1" t="n">
        <v>46158</v>
      </c>
      <c r="D76" t="inlineStr">
        <is>
          <t>STOCKHOLMS LÄN</t>
        </is>
      </c>
      <c r="E76" t="inlineStr">
        <is>
          <t>NYKVARN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24283-2022</t>
        </is>
      </c>
      <c r="B77" s="1" t="n">
        <v>44725.79453703704</v>
      </c>
      <c r="C77" s="1" t="n">
        <v>46158</v>
      </c>
      <c r="D77" t="inlineStr">
        <is>
          <t>STOCKHOLMS LÄN</t>
        </is>
      </c>
      <c r="E77" t="inlineStr">
        <is>
          <t>NYKVARN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2172-2024</t>
        </is>
      </c>
      <c r="B78" s="1" t="n">
        <v>45309.63112268518</v>
      </c>
      <c r="C78" s="1" t="n">
        <v>46158</v>
      </c>
      <c r="D78" t="inlineStr">
        <is>
          <t>STOCKHOLMS LÄN</t>
        </is>
      </c>
      <c r="E78" t="inlineStr">
        <is>
          <t>NYKVARN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7926-2023</t>
        </is>
      </c>
      <c r="B79" s="1" t="n">
        <v>44973.6502662037</v>
      </c>
      <c r="C79" s="1" t="n">
        <v>46158</v>
      </c>
      <c r="D79" t="inlineStr">
        <is>
          <t>STOCKHOLMS LÄN</t>
        </is>
      </c>
      <c r="E79" t="inlineStr">
        <is>
          <t>NYKVARN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23152-2021</t>
        </is>
      </c>
      <c r="B80" s="1" t="n">
        <v>44332</v>
      </c>
      <c r="C80" s="1" t="n">
        <v>46158</v>
      </c>
      <c r="D80" t="inlineStr">
        <is>
          <t>STOCKHOLMS LÄN</t>
        </is>
      </c>
      <c r="E80" t="inlineStr">
        <is>
          <t>NYKVARN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44969-2022</t>
        </is>
      </c>
      <c r="B81" s="1" t="n">
        <v>44841.58752314815</v>
      </c>
      <c r="C81" s="1" t="n">
        <v>46158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11430-2022</t>
        </is>
      </c>
      <c r="B82" s="1" t="n">
        <v>44630.5968287037</v>
      </c>
      <c r="C82" s="1" t="n">
        <v>46158</v>
      </c>
      <c r="D82" t="inlineStr">
        <is>
          <t>STOCKHOLMS LÄN</t>
        </is>
      </c>
      <c r="E82" t="inlineStr">
        <is>
          <t>NYKVARN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18222-2025</t>
        </is>
      </c>
      <c r="B83" s="1" t="n">
        <v>45761.7321875</v>
      </c>
      <c r="C83" s="1" t="n">
        <v>46158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2177-2024</t>
        </is>
      </c>
      <c r="B84" s="1" t="n">
        <v>45309.64600694444</v>
      </c>
      <c r="C84" s="1" t="n">
        <v>46158</v>
      </c>
      <c r="D84" t="inlineStr">
        <is>
          <t>STOCKHOLMS LÄN</t>
        </is>
      </c>
      <c r="E84" t="inlineStr">
        <is>
          <t>NYKVARN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23655-2025</t>
        </is>
      </c>
      <c r="B85" s="1" t="n">
        <v>45792</v>
      </c>
      <c r="C85" s="1" t="n">
        <v>46158</v>
      </c>
      <c r="D85" t="inlineStr">
        <is>
          <t>STOCKHOLMS LÄN</t>
        </is>
      </c>
      <c r="E85" t="inlineStr">
        <is>
          <t>NYKVARN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2026-05-16T12:09:55Z</dcterms:created>
  <dcterms:modified xmlns:dcterms="http://purl.org/dc/terms/" xmlns:xsi="http://www.w3.org/2001/XMLSchema-instance" xsi:type="dcterms:W3CDTF">2026-05-16T12:09:56Z</dcterms:modified>
</cp:coreProperties>
</file>