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46127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46127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46127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46127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46127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46127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46127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17009-2026</t>
        </is>
      </c>
      <c r="B12" s="1" t="n">
        <v>46114.43309027778</v>
      </c>
      <c r="C12" s="1" t="n">
        <v>46127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46127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46127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11393-2022</t>
        </is>
      </c>
      <c r="B15" s="1" t="n">
        <v>44630</v>
      </c>
      <c r="C15" s="1" t="n">
        <v>46127</v>
      </c>
      <c r="D15" t="inlineStr">
        <is>
          <t>STOCKHOLMS LÄN</t>
        </is>
      </c>
      <c r="E15" t="inlineStr">
        <is>
          <t>NYKVARN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HYPERLINK("https://klasma.github.io/Logging_0140/artfynd/A 11393-2022 artfynd.xlsx", "A 11393-2022")</f>
        <v/>
      </c>
      <c r="T15">
        <f>HYPERLINK("https://klasma.github.io/Logging_0140/kartor/A 11393-2022 karta.png", "A 11393-2022")</f>
        <v/>
      </c>
      <c r="V15">
        <f>HYPERLINK("https://klasma.github.io/Logging_0140/klagomål/A 11393-2022 FSC-klagomål.docx", "A 11393-2022")</f>
        <v/>
      </c>
      <c r="W15">
        <f>HYPERLINK("https://klasma.github.io/Logging_0140/klagomålsmail/A 11393-2022 FSC-klagomål mail.docx", "A 11393-2022")</f>
        <v/>
      </c>
      <c r="X15">
        <f>HYPERLINK("https://klasma.github.io/Logging_0140/tillsyn/A 11393-2022 tillsynsbegäran.docx", "A 11393-2022")</f>
        <v/>
      </c>
      <c r="Y15">
        <f>HYPERLINK("https://klasma.github.io/Logging_0140/tillsynsmail/A 11393-2022 tillsynsbegäran mail.docx", "A 11393-2022")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46127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46127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46127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46127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46127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46127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46127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46127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46127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46127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46127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46127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46127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46127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46127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46127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46127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46127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46127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46127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46127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26763-2025</t>
        </is>
      </c>
      <c r="B37" s="1" t="n">
        <v>45810.56418981482</v>
      </c>
      <c r="C37" s="1" t="n">
        <v>46127</v>
      </c>
      <c r="D37" t="inlineStr">
        <is>
          <t>STOCKHOLMS LÄN</t>
        </is>
      </c>
      <c r="E37" t="inlineStr">
        <is>
          <t>NYKVARN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46127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46127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46127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46127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18848-2024</t>
        </is>
      </c>
      <c r="B42" s="1" t="n">
        <v>45426.68278935185</v>
      </c>
      <c r="C42" s="1" t="n">
        <v>46127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46127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46127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46127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23152-2021</t>
        </is>
      </c>
      <c r="B46" s="1" t="n">
        <v>44332</v>
      </c>
      <c r="C46" s="1" t="n">
        <v>46127</v>
      </c>
      <c r="D46" t="inlineStr">
        <is>
          <t>STOCKHOLMS LÄN</t>
        </is>
      </c>
      <c r="E46" t="inlineStr">
        <is>
          <t>NYKVARN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25754-2023</t>
        </is>
      </c>
      <c r="B47" s="1" t="n">
        <v>45084</v>
      </c>
      <c r="C47" s="1" t="n">
        <v>46127</v>
      </c>
      <c r="D47" t="inlineStr">
        <is>
          <t>STOCKHOLMS LÄN</t>
        </is>
      </c>
      <c r="E47" t="inlineStr">
        <is>
          <t>NYKVARN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59342-2025</t>
        </is>
      </c>
      <c r="B48" s="1" t="n">
        <v>45989.38784722222</v>
      </c>
      <c r="C48" s="1" t="n">
        <v>46127</v>
      </c>
      <c r="D48" t="inlineStr">
        <is>
          <t>STOCKHOLMS LÄN</t>
        </is>
      </c>
      <c r="E48" t="inlineStr">
        <is>
          <t>NYKVARN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45989.40099537037</v>
      </c>
      <c r="C49" s="1" t="n">
        <v>46127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32555-2023</t>
        </is>
      </c>
      <c r="B50" s="1" t="n">
        <v>45121.43032407408</v>
      </c>
      <c r="C50" s="1" t="n">
        <v>46127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60324-2022</t>
        </is>
      </c>
      <c r="B51" s="1" t="n">
        <v>44910.59086805556</v>
      </c>
      <c r="C51" s="1" t="n">
        <v>46127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43230-2022</t>
        </is>
      </c>
      <c r="B52" s="1" t="n">
        <v>44834</v>
      </c>
      <c r="C52" s="1" t="n">
        <v>46127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44947-2021</t>
        </is>
      </c>
      <c r="B53" s="1" t="n">
        <v>44438.69939814815</v>
      </c>
      <c r="C53" s="1" t="n">
        <v>46127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46127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20711-2021</t>
        </is>
      </c>
      <c r="B55" s="1" t="n">
        <v>44316</v>
      </c>
      <c r="C55" s="1" t="n">
        <v>46127</v>
      </c>
      <c r="D55" t="inlineStr">
        <is>
          <t>STOCKHOLMS LÄN</t>
        </is>
      </c>
      <c r="E55" t="inlineStr">
        <is>
          <t>NYKVARN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40168-2023</t>
        </is>
      </c>
      <c r="B56" s="1" t="n">
        <v>45169.38591435185</v>
      </c>
      <c r="C56" s="1" t="n">
        <v>46127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46127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44725.79453703704</v>
      </c>
      <c r="C58" s="1" t="n">
        <v>46127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46127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46127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46127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46127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46127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46127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15912-2026</t>
        </is>
      </c>
      <c r="B65" s="1" t="n">
        <v>46107.64332175926</v>
      </c>
      <c r="C65" s="1" t="n">
        <v>46127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46127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46127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46127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46127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46127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46127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46127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46127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46127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11045-2026</t>
        </is>
      </c>
      <c r="B75" s="1" t="n">
        <v>46079.58353009259</v>
      </c>
      <c r="C75" s="1" t="n">
        <v>46127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39539-2023</t>
        </is>
      </c>
      <c r="B76" s="1" t="n">
        <v>45167</v>
      </c>
      <c r="C76" s="1" t="n">
        <v>46127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6876-2022</t>
        </is>
      </c>
      <c r="B77" s="1" t="n">
        <v>44602</v>
      </c>
      <c r="C77" s="1" t="n">
        <v>46127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46127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53337-2023</t>
        </is>
      </c>
      <c r="B79" s="1" t="n">
        <v>45229.63960648148</v>
      </c>
      <c r="C79" s="1" t="n">
        <v>46127</v>
      </c>
      <c r="D79" t="inlineStr">
        <is>
          <t>STOCKHOLMS LÄN</t>
        </is>
      </c>
      <c r="E79" t="inlineStr">
        <is>
          <t>NYKVARN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51813-2024</t>
        </is>
      </c>
      <c r="B80" s="1" t="n">
        <v>45607.48734953703</v>
      </c>
      <c r="C80" s="1" t="n">
        <v>46127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6854-2022</t>
        </is>
      </c>
      <c r="B81" s="1" t="n">
        <v>44602</v>
      </c>
      <c r="C81" s="1" t="n">
        <v>46127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63592-2023</t>
        </is>
      </c>
      <c r="B82" s="1" t="n">
        <v>45275</v>
      </c>
      <c r="C82" s="1" t="n">
        <v>46127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46127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52963-2022</t>
        </is>
      </c>
      <c r="B84" s="1" t="n">
        <v>44875</v>
      </c>
      <c r="C84" s="1" t="n">
        <v>46127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2026-04-15T14:29:42Z</dcterms:created>
  <dcterms:modified xmlns:dcterms="http://purl.org/dc/terms/" xmlns:xsi="http://www.w3.org/2001/XMLSchema-instance" xsi:type="dcterms:W3CDTF">2026-04-15T14:29:42Z</dcterms:modified>
</cp:coreProperties>
</file>