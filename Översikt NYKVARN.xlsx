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46082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46082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46082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46082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46082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57389-2024</t>
        </is>
      </c>
      <c r="B10" s="1" t="n">
        <v>45629.68615740741</v>
      </c>
      <c r="C10" s="1" t="n">
        <v>46082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57389-2024 artfynd.xlsx", "A 57389-2024")</f>
        <v/>
      </c>
      <c r="T10">
        <f>HYPERLINK("https://klasma.github.io/Logging_0140/kartor/A 57389-2024 karta.png", "A 57389-2024")</f>
        <v/>
      </c>
      <c r="V10">
        <f>HYPERLINK("https://klasma.github.io/Logging_0140/klagomål/A 57389-2024 FSC-klagomål.docx", "A 57389-2024")</f>
        <v/>
      </c>
      <c r="W10">
        <f>HYPERLINK("https://klasma.github.io/Logging_0140/klagomålsmail/A 57389-2024 FSC-klagomål mail.docx", "A 57389-2024")</f>
        <v/>
      </c>
      <c r="X10">
        <f>HYPERLINK("https://klasma.github.io/Logging_0140/tillsyn/A 57389-2024 tillsynsbegäran.docx", "A 57389-2024")</f>
        <v/>
      </c>
      <c r="Y10">
        <f>HYPERLINK("https://klasma.github.io/Logging_0140/tillsynsmail/A 57389-2024 tillsynsbegäran mail.docx", "A 57389-2024")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46082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8285-2022</t>
        </is>
      </c>
      <c r="B12" s="1" t="n">
        <v>44610</v>
      </c>
      <c r="C12" s="1" t="n">
        <v>46082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HYPERLINK("https://klasma.github.io/Logging_0140/artfynd/A 8285-2022 artfynd.xlsx", "A 8285-2022")</f>
        <v/>
      </c>
      <c r="T12">
        <f>HYPERLINK("https://klasma.github.io/Logging_0140/kartor/A 8285-2022 karta.png", "A 8285-2022")</f>
        <v/>
      </c>
      <c r="V12">
        <f>HYPERLINK("https://klasma.github.io/Logging_0140/klagomål/A 8285-2022 FSC-klagomål.docx", "A 8285-2022")</f>
        <v/>
      </c>
      <c r="W12">
        <f>HYPERLINK("https://klasma.github.io/Logging_0140/klagomålsmail/A 8285-2022 FSC-klagomål mail.docx", "A 8285-2022")</f>
        <v/>
      </c>
      <c r="X12">
        <f>HYPERLINK("https://klasma.github.io/Logging_0140/tillsyn/A 8285-2022 tillsynsbegäran.docx", "A 8285-2022")</f>
        <v/>
      </c>
      <c r="Y12">
        <f>HYPERLINK("https://klasma.github.io/Logging_0140/tillsynsmail/A 8285-2022 tillsynsbegäran mail.docx", "A 8285-2022")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46082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23279-2025</t>
        </is>
      </c>
      <c r="B14" s="1" t="n">
        <v>45791</v>
      </c>
      <c r="C14" s="1" t="n">
        <v>46082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23279-2025 artfynd.xlsx", "A 23279-2025")</f>
        <v/>
      </c>
      <c r="T14">
        <f>HYPERLINK("https://klasma.github.io/Logging_0140/kartor/A 23279-2025 karta.png", "A 23279-2025")</f>
        <v/>
      </c>
      <c r="V14">
        <f>HYPERLINK("https://klasma.github.io/Logging_0140/klagomål/A 23279-2025 FSC-klagomål.docx", "A 23279-2025")</f>
        <v/>
      </c>
      <c r="W14">
        <f>HYPERLINK("https://klasma.github.io/Logging_0140/klagomålsmail/A 23279-2025 FSC-klagomål mail.docx", "A 23279-2025")</f>
        <v/>
      </c>
      <c r="X14">
        <f>HYPERLINK("https://klasma.github.io/Logging_0140/tillsyn/A 23279-2025 tillsynsbegäran.docx", "A 23279-2025")</f>
        <v/>
      </c>
      <c r="Y14">
        <f>HYPERLINK("https://klasma.github.io/Logging_0140/tillsynsmail/A 23279-2025 tillsynsbegäran mail.docx", "A 23279-2025")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46082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46082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46082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46082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46082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46082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46082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50031-2023</t>
        </is>
      </c>
      <c r="B33" s="1" t="n">
        <v>45215.48474537037</v>
      </c>
      <c r="C33" s="1" t="n">
        <v>46082</v>
      </c>
      <c r="D33" t="inlineStr">
        <is>
          <t>STOCKHOLMS LÄN</t>
        </is>
      </c>
      <c r="E33" t="inlineStr">
        <is>
          <t>NYKVARN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19487-2023</t>
        </is>
      </c>
      <c r="B34" s="1" t="n">
        <v>45050</v>
      </c>
      <c r="C34" s="1" t="n">
        <v>46082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40168-2023</t>
        </is>
      </c>
      <c r="B35" s="1" t="n">
        <v>45169.38591435185</v>
      </c>
      <c r="C35" s="1" t="n">
        <v>46082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6857-2022</t>
        </is>
      </c>
      <c r="B36" s="1" t="n">
        <v>44602.69712962963</v>
      </c>
      <c r="C36" s="1" t="n">
        <v>46082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8096-2023</t>
        </is>
      </c>
      <c r="B37" s="1" t="n">
        <v>44974.389375</v>
      </c>
      <c r="C37" s="1" t="n">
        <v>46082</v>
      </c>
      <c r="D37" t="inlineStr">
        <is>
          <t>STOCKHOLMS LÄN</t>
        </is>
      </c>
      <c r="E37" t="inlineStr">
        <is>
          <t>NYKVARN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39539-2023</t>
        </is>
      </c>
      <c r="B38" s="1" t="n">
        <v>45167</v>
      </c>
      <c r="C38" s="1" t="n">
        <v>46082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46082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60324-2022</t>
        </is>
      </c>
      <c r="B40" s="1" t="n">
        <v>44910.59086805556</v>
      </c>
      <c r="C40" s="1" t="n">
        <v>46082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38535-2025</t>
        </is>
      </c>
      <c r="B41" s="1" t="n">
        <v>45884.41943287037</v>
      </c>
      <c r="C41" s="1" t="n">
        <v>46082</v>
      </c>
      <c r="D41" t="inlineStr">
        <is>
          <t>STOCKHOLMS LÄN</t>
        </is>
      </c>
      <c r="E41" t="inlineStr">
        <is>
          <t>NYKVARN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26755-2025</t>
        </is>
      </c>
      <c r="B42" s="1" t="n">
        <v>45810.55623842592</v>
      </c>
      <c r="C42" s="1" t="n">
        <v>46082</v>
      </c>
      <c r="D42" t="inlineStr">
        <is>
          <t>STOCKHOLMS LÄN</t>
        </is>
      </c>
      <c r="E42" t="inlineStr">
        <is>
          <t>NYKVARN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46082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28607-2025</t>
        </is>
      </c>
      <c r="B44" s="1" t="n">
        <v>45819.60226851852</v>
      </c>
      <c r="C44" s="1" t="n">
        <v>46082</v>
      </c>
      <c r="D44" t="inlineStr">
        <is>
          <t>STOCKHOLMS LÄN</t>
        </is>
      </c>
      <c r="E44" t="inlineStr">
        <is>
          <t>NYKVARN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28598-2025</t>
        </is>
      </c>
      <c r="B45" s="1" t="n">
        <v>45819.59659722223</v>
      </c>
      <c r="C45" s="1" t="n">
        <v>46082</v>
      </c>
      <c r="D45" t="inlineStr">
        <is>
          <t>STOCKHOLMS LÄN</t>
        </is>
      </c>
      <c r="E45" t="inlineStr">
        <is>
          <t>NYKVARN</t>
        </is>
      </c>
      <c r="G45" t="n">
        <v>10.4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53307-2023</t>
        </is>
      </c>
      <c r="B46" s="1" t="n">
        <v>45229</v>
      </c>
      <c r="C46" s="1" t="n">
        <v>46082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53337-2023</t>
        </is>
      </c>
      <c r="B47" s="1" t="n">
        <v>45229.63960648148</v>
      </c>
      <c r="C47" s="1" t="n">
        <v>46082</v>
      </c>
      <c r="D47" t="inlineStr">
        <is>
          <t>STOCKHOLMS LÄN</t>
        </is>
      </c>
      <c r="E47" t="inlineStr">
        <is>
          <t>NYKVARN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54670-2023</t>
        </is>
      </c>
      <c r="B48" s="1" t="n">
        <v>45235</v>
      </c>
      <c r="C48" s="1" t="n">
        <v>46082</v>
      </c>
      <c r="D48" t="inlineStr">
        <is>
          <t>STOCKHOLMS LÄN</t>
        </is>
      </c>
      <c r="E48" t="inlineStr">
        <is>
          <t>NYKVARN</t>
        </is>
      </c>
      <c r="F48" t="inlineStr">
        <is>
          <t>Kommuner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51813-2024</t>
        </is>
      </c>
      <c r="B49" s="1" t="n">
        <v>45607.48734953703</v>
      </c>
      <c r="C49" s="1" t="n">
        <v>46082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18793-2023</t>
        </is>
      </c>
      <c r="B50" s="1" t="n">
        <v>45044</v>
      </c>
      <c r="C50" s="1" t="n">
        <v>46082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22529-2022</t>
        </is>
      </c>
      <c r="B51" s="1" t="n">
        <v>44713</v>
      </c>
      <c r="C51" s="1" t="n">
        <v>46082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36986-2025</t>
        </is>
      </c>
      <c r="B52" s="1" t="n">
        <v>45874.65056712963</v>
      </c>
      <c r="C52" s="1" t="n">
        <v>46082</v>
      </c>
      <c r="D52" t="inlineStr">
        <is>
          <t>STOCKHOLMS LÄN</t>
        </is>
      </c>
      <c r="E52" t="inlineStr">
        <is>
          <t>NYKVARN</t>
        </is>
      </c>
      <c r="G52" t="n">
        <v>10.6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51787-2021</t>
        </is>
      </c>
      <c r="B53" s="1" t="n">
        <v>44462</v>
      </c>
      <c r="C53" s="1" t="n">
        <v>46082</v>
      </c>
      <c r="D53" t="inlineStr">
        <is>
          <t>STOCKHOLMS LÄN</t>
        </is>
      </c>
      <c r="E53" t="inlineStr">
        <is>
          <t>NYKVARN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46082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44947-2021</t>
        </is>
      </c>
      <c r="B55" s="1" t="n">
        <v>44438.69939814815</v>
      </c>
      <c r="C55" s="1" t="n">
        <v>46082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54583-2023</t>
        </is>
      </c>
      <c r="B56" s="1" t="n">
        <v>45233</v>
      </c>
      <c r="C56" s="1" t="n">
        <v>46082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63586-2023</t>
        </is>
      </c>
      <c r="B57" s="1" t="n">
        <v>45275</v>
      </c>
      <c r="C57" s="1" t="n">
        <v>46082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32555-2023</t>
        </is>
      </c>
      <c r="B58" s="1" t="n">
        <v>45121.43032407408</v>
      </c>
      <c r="C58" s="1" t="n">
        <v>46082</v>
      </c>
      <c r="D58" t="inlineStr">
        <is>
          <t>STOCKHOLMS LÄN</t>
        </is>
      </c>
      <c r="E58" t="inlineStr">
        <is>
          <t>NYKVARN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63592-2023</t>
        </is>
      </c>
      <c r="B59" s="1" t="n">
        <v>45275</v>
      </c>
      <c r="C59" s="1" t="n">
        <v>46082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46082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46082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6876-2022</t>
        </is>
      </c>
      <c r="B62" s="1" t="n">
        <v>44602</v>
      </c>
      <c r="C62" s="1" t="n">
        <v>46082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46082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63400-2023</t>
        </is>
      </c>
      <c r="B64" s="1" t="n">
        <v>45274</v>
      </c>
      <c r="C64" s="1" t="n">
        <v>46082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41681-2023</t>
        </is>
      </c>
      <c r="B65" s="1" t="n">
        <v>45173</v>
      </c>
      <c r="C65" s="1" t="n">
        <v>46082</v>
      </c>
      <c r="D65" t="inlineStr">
        <is>
          <t>STOCKHOLMS LÄN</t>
        </is>
      </c>
      <c r="E65" t="inlineStr">
        <is>
          <t>NYKVARN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19903-2023</t>
        </is>
      </c>
      <c r="B66" s="1" t="n">
        <v>45054</v>
      </c>
      <c r="C66" s="1" t="n">
        <v>46082</v>
      </c>
      <c r="D66" t="inlineStr">
        <is>
          <t>STOCKHOLMS LÄN</t>
        </is>
      </c>
      <c r="E66" t="inlineStr">
        <is>
          <t>NYKVARN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46082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46082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25278-2022</t>
        </is>
      </c>
      <c r="B69" s="1" t="n">
        <v>44730</v>
      </c>
      <c r="C69" s="1" t="n">
        <v>46082</v>
      </c>
      <c r="D69" t="inlineStr">
        <is>
          <t>STOCKHOLMS LÄN</t>
        </is>
      </c>
      <c r="E69" t="inlineStr">
        <is>
          <t>NYKVARN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11045-2026</t>
        </is>
      </c>
      <c r="B70" s="1" t="n">
        <v>46079.58353009259</v>
      </c>
      <c r="C70" s="1" t="n">
        <v>46082</v>
      </c>
      <c r="D70" t="inlineStr">
        <is>
          <t>STOCKHOLMS LÄN</t>
        </is>
      </c>
      <c r="E70" t="inlineStr">
        <is>
          <t>NYKVARN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46082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46082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46082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45309.63112268518</v>
      </c>
      <c r="C74" s="1" t="n">
        <v>46082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46082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46082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46082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46082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11430-2022</t>
        </is>
      </c>
      <c r="B79" s="1" t="n">
        <v>44630.5968287037</v>
      </c>
      <c r="C79" s="1" t="n">
        <v>46082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18222-2025</t>
        </is>
      </c>
      <c r="B80" s="1" t="n">
        <v>45761.7321875</v>
      </c>
      <c r="C80" s="1" t="n">
        <v>46082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2177-2024</t>
        </is>
      </c>
      <c r="B81" s="1" t="n">
        <v>45309.64600694444</v>
      </c>
      <c r="C81" s="1" t="n">
        <v>46082</v>
      </c>
      <c r="D81" t="inlineStr">
        <is>
          <t>STOCKHOLMS LÄN</t>
        </is>
      </c>
      <c r="E81" t="inlineStr">
        <is>
          <t>NYKVARN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23655-2025</t>
        </is>
      </c>
      <c r="B82" s="1" t="n">
        <v>45792</v>
      </c>
      <c r="C82" s="1" t="n">
        <v>46082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23284-2025</t>
        </is>
      </c>
      <c r="B83" s="1" t="n">
        <v>45791.57525462963</v>
      </c>
      <c r="C83" s="1" t="n">
        <v>46082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2026-03-01T11:08:05Z</dcterms:created>
  <dcterms:modified xmlns:dcterms="http://purl.org/dc/terms/" xmlns:xsi="http://www.w3.org/2001/XMLSchema-instance" xsi:type="dcterms:W3CDTF">2026-03-01T11:08:05Z</dcterms:modified>
</cp:coreProperties>
</file>