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46040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2892-2026</t>
        </is>
      </c>
      <c r="B4" s="1" t="n">
        <v>46037</v>
      </c>
      <c r="C4" s="1" t="n">
        <v>46040</v>
      </c>
      <c r="D4" t="inlineStr">
        <is>
          <t>STOCKHOLMS LÄN</t>
        </is>
      </c>
      <c r="E4" t="inlineStr">
        <is>
          <t>NYKVARN</t>
        </is>
      </c>
      <c r="G4" t="n">
        <v>4.2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Tallticka</t>
        </is>
      </c>
      <c r="S4">
        <f>HYPERLINK("https://klasma.github.io/Logging_0140/artfynd/A 2892-2026 artfynd.xlsx", "A 2892-2026")</f>
        <v/>
      </c>
      <c r="T4">
        <f>HYPERLINK("https://klasma.github.io/Logging_0140/kartor/A 2892-2026 karta.png", "A 2892-2026")</f>
        <v/>
      </c>
      <c r="V4">
        <f>HYPERLINK("https://klasma.github.io/Logging_0140/klagomål/A 2892-2026 FSC-klagomål.docx", "A 2892-2026")</f>
        <v/>
      </c>
      <c r="W4">
        <f>HYPERLINK("https://klasma.github.io/Logging_0140/klagomålsmail/A 2892-2026 FSC-klagomål mail.docx", "A 2892-2026")</f>
        <v/>
      </c>
      <c r="X4">
        <f>HYPERLINK("https://klasma.github.io/Logging_0140/tillsyn/A 2892-2026 tillsynsbegäran.docx", "A 2892-2026")</f>
        <v/>
      </c>
      <c r="Y4">
        <f>HYPERLINK("https://klasma.github.io/Logging_0140/tillsynsmail/A 2892-2026 tillsynsbegäran mail.docx", "A 2892-2026")</f>
        <v/>
      </c>
      <c r="Z4">
        <f>HYPERLINK("https://klasma.github.io/Logging_0140/fåglar/A 2892-2026 prioriterade fågelarter.docx", "A 2892-2026")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2423-2026</t>
        </is>
      </c>
      <c r="B6" s="1" t="n">
        <v>46034</v>
      </c>
      <c r="C6" s="1" t="n">
        <v>46040</v>
      </c>
      <c r="D6" t="inlineStr">
        <is>
          <t>STOCKHOLMS LÄN</t>
        </is>
      </c>
      <c r="E6" t="inlineStr">
        <is>
          <t>NYKVARN</t>
        </is>
      </c>
      <c r="G6" t="n">
        <v>11.8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HYPERLINK("https://klasma.github.io/Logging_0140/artfynd/A 2423-2026 artfynd.xlsx", "A 2423-2026")</f>
        <v/>
      </c>
      <c r="T6">
        <f>HYPERLINK("https://klasma.github.io/Logging_0140/kartor/A 2423-2026 karta.png", "A 2423-2026")</f>
        <v/>
      </c>
      <c r="U6">
        <f>HYPERLINK("https://klasma.github.io/Logging_0140/knärot/A 2423-2026 karta knärot.png", "A 2423-2026")</f>
        <v/>
      </c>
      <c r="V6">
        <f>HYPERLINK("https://klasma.github.io/Logging_0140/klagomål/A 2423-2026 FSC-klagomål.docx", "A 2423-2026")</f>
        <v/>
      </c>
      <c r="W6">
        <f>HYPERLINK("https://klasma.github.io/Logging_0140/klagomålsmail/A 2423-2026 FSC-klagomål mail.docx", "A 2423-2026")</f>
        <v/>
      </c>
      <c r="X6">
        <f>HYPERLINK("https://klasma.github.io/Logging_0140/tillsyn/A 2423-2026 tillsynsbegäran.docx", "A 2423-2026")</f>
        <v/>
      </c>
      <c r="Y6">
        <f>HYPERLINK("https://klasma.github.io/Logging_0140/tillsynsmail/A 2423-2026 tillsynsbegäran mail.docx", "A 2423-2026")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46040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46040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46040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46040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46040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46040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12578-2022</t>
        </is>
      </c>
      <c r="B14" s="1" t="n">
        <v>44638</v>
      </c>
      <c r="C14" s="1" t="n">
        <v>46040</v>
      </c>
      <c r="D14" t="inlineStr">
        <is>
          <t>STOCKHOLMS LÄN</t>
        </is>
      </c>
      <c r="E14" t="inlineStr">
        <is>
          <t>NYKVARN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37967-2021</t>
        </is>
      </c>
      <c r="B15" s="1" t="n">
        <v>44403</v>
      </c>
      <c r="C15" s="1" t="n">
        <v>46040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46040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14584-2021</t>
        </is>
      </c>
      <c r="B17" s="1" t="n">
        <v>44279.91693287037</v>
      </c>
      <c r="C17" s="1" t="n">
        <v>46040</v>
      </c>
      <c r="D17" t="inlineStr">
        <is>
          <t>STOCKHOLMS LÄN</t>
        </is>
      </c>
      <c r="E17" t="inlineStr">
        <is>
          <t>NYKVARN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46040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46040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46040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46040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46040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46040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46040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46040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46040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38535-2025</t>
        </is>
      </c>
      <c r="B27" s="1" t="n">
        <v>45884.41943287037</v>
      </c>
      <c r="C27" s="1" t="n">
        <v>46040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46040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46040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51787-2021</t>
        </is>
      </c>
      <c r="B30" s="1" t="n">
        <v>44462</v>
      </c>
      <c r="C30" s="1" t="n">
        <v>46040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25754-2023</t>
        </is>
      </c>
      <c r="B31" s="1" t="n">
        <v>45084</v>
      </c>
      <c r="C31" s="1" t="n">
        <v>46040</v>
      </c>
      <c r="D31" t="inlineStr">
        <is>
          <t>STOCKHOLMS LÄN</t>
        </is>
      </c>
      <c r="E31" t="inlineStr">
        <is>
          <t>NYKVARN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46040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46040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44947-2021</t>
        </is>
      </c>
      <c r="B34" s="1" t="n">
        <v>44438.69939814815</v>
      </c>
      <c r="C34" s="1" t="n">
        <v>46040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54583-2023</t>
        </is>
      </c>
      <c r="B35" s="1" t="n">
        <v>45233</v>
      </c>
      <c r="C35" s="1" t="n">
        <v>46040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46040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46040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52963-2022</t>
        </is>
      </c>
      <c r="B38" s="1" t="n">
        <v>44875</v>
      </c>
      <c r="C38" s="1" t="n">
        <v>46040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63586-2023</t>
        </is>
      </c>
      <c r="B39" s="1" t="n">
        <v>45275</v>
      </c>
      <c r="C39" s="1" t="n">
        <v>46040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59342-2025</t>
        </is>
      </c>
      <c r="B40" s="1" t="n">
        <v>45989.38784722222</v>
      </c>
      <c r="C40" s="1" t="n">
        <v>46040</v>
      </c>
      <c r="D40" t="inlineStr">
        <is>
          <t>STOCKHOLMS LÄN</t>
        </is>
      </c>
      <c r="E40" t="inlineStr">
        <is>
          <t>NYKVARN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59348-2025</t>
        </is>
      </c>
      <c r="B41" s="1" t="n">
        <v>45989.40099537037</v>
      </c>
      <c r="C41" s="1" t="n">
        <v>46040</v>
      </c>
      <c r="D41" t="inlineStr">
        <is>
          <t>STOCKHOLMS LÄN</t>
        </is>
      </c>
      <c r="E41" t="inlineStr">
        <is>
          <t>NYKVARN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46040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46040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46040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46040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6876-2022</t>
        </is>
      </c>
      <c r="B46" s="1" t="n">
        <v>44602</v>
      </c>
      <c r="C46" s="1" t="n">
        <v>46040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46040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46040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39539-2023</t>
        </is>
      </c>
      <c r="B49" s="1" t="n">
        <v>45167</v>
      </c>
      <c r="C49" s="1" t="n">
        <v>46040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46040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46040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46040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71540-2021</t>
        </is>
      </c>
      <c r="B53" s="1" t="n">
        <v>44540</v>
      </c>
      <c r="C53" s="1" t="n">
        <v>46040</v>
      </c>
      <c r="D53" t="inlineStr">
        <is>
          <t>STOCKHOLMS LÄN</t>
        </is>
      </c>
      <c r="E53" t="inlineStr">
        <is>
          <t>NYKVARN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46040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46040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56639-2023</t>
        </is>
      </c>
      <c r="B56" s="1" t="n">
        <v>45243.72300925926</v>
      </c>
      <c r="C56" s="1" t="n">
        <v>46040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46040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25278-2022</t>
        </is>
      </c>
      <c r="B58" s="1" t="n">
        <v>44730</v>
      </c>
      <c r="C58" s="1" t="n">
        <v>46040</v>
      </c>
      <c r="D58" t="inlineStr">
        <is>
          <t>STOCKHOLMS LÄN</t>
        </is>
      </c>
      <c r="E58" t="inlineStr">
        <is>
          <t>NYKVARN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46040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46040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46040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46040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51813-2024</t>
        </is>
      </c>
      <c r="B63" s="1" t="n">
        <v>45607.48734953703</v>
      </c>
      <c r="C63" s="1" t="n">
        <v>46040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52878-2022</t>
        </is>
      </c>
      <c r="B64" s="1" t="n">
        <v>44872</v>
      </c>
      <c r="C64" s="1" t="n">
        <v>46040</v>
      </c>
      <c r="D64" t="inlineStr">
        <is>
          <t>STOCKHOLMS LÄN</t>
        </is>
      </c>
      <c r="E64" t="inlineStr">
        <is>
          <t>NYKVARN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24283-2022</t>
        </is>
      </c>
      <c r="B65" s="1" t="n">
        <v>44725.79453703704</v>
      </c>
      <c r="C65" s="1" t="n">
        <v>46040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46040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46040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2172-2024</t>
        </is>
      </c>
      <c r="B68" s="1" t="n">
        <v>45309.63112268518</v>
      </c>
      <c r="C68" s="1" t="n">
        <v>46040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46040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46040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23152-2021</t>
        </is>
      </c>
      <c r="B71" s="1" t="n">
        <v>44332</v>
      </c>
      <c r="C71" s="1" t="n">
        <v>46040</v>
      </c>
      <c r="D71" t="inlineStr">
        <is>
          <t>STOCKHOLMS LÄN</t>
        </is>
      </c>
      <c r="E71" t="inlineStr">
        <is>
          <t>NYKVARN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44969-2022</t>
        </is>
      </c>
      <c r="B72" s="1" t="n">
        <v>44841.58752314815</v>
      </c>
      <c r="C72" s="1" t="n">
        <v>46040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46040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45761.7321875</v>
      </c>
      <c r="C74" s="1" t="n">
        <v>46040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46040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46040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46040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46040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26763-2025</t>
        </is>
      </c>
      <c r="B79" s="1" t="n">
        <v>45810.56418981482</v>
      </c>
      <c r="C79" s="1" t="n">
        <v>46040</v>
      </c>
      <c r="D79" t="inlineStr">
        <is>
          <t>STOCKHOLMS LÄN</t>
        </is>
      </c>
      <c r="E79" t="inlineStr">
        <is>
          <t>NYKVARN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28607-2025</t>
        </is>
      </c>
      <c r="B80" s="1" t="n">
        <v>45819.60226851852</v>
      </c>
      <c r="C80" s="1" t="n">
        <v>46040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28598-2025</t>
        </is>
      </c>
      <c r="B81" s="1" t="n">
        <v>45819.59659722223</v>
      </c>
      <c r="C81" s="1" t="n">
        <v>46040</v>
      </c>
      <c r="D81" t="inlineStr">
        <is>
          <t>STOCKHOLMS LÄN</t>
        </is>
      </c>
      <c r="E81" t="inlineStr">
        <is>
          <t>NYKVARN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2026-01-18T10:57:53Z</dcterms:created>
  <dcterms:modified xmlns:dcterms="http://purl.org/dc/terms/" xmlns:xsi="http://www.w3.org/2001/XMLSchema-instance" xsi:type="dcterms:W3CDTF">2026-01-18T10:57:53Z</dcterms:modified>
</cp:coreProperties>
</file>