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46324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46324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46324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46324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46324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46324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46324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46324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37597-2024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45541</v>
      </c>
      <c r="E10" s="1" t="n">
        <v>46324</v>
      </c>
      <c r="F10" t="inlineStr">
        <is>
          <t>STOCKHOLMS LÄN</t>
        </is>
      </c>
      <c r="G10" t="inlineStr">
        <is>
          <t>NYKVARN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Röd glada</t>
        </is>
      </c>
      <c r="W10">
        <f>HYPERLINK("https://klasma.github.io/Logging_0140/artfynd/A 37597-2024 artfynd.xlsx", "A 37597-2024")</f>
        <v/>
      </c>
      <c r="X10">
        <f>HYPERLINK("https://klasma.github.io/Logging_0140/kartor/A 37597-2024 karta.png", "A 37597-2024")</f>
        <v/>
      </c>
      <c r="Y10">
        <f>HYPERLINK("https://klasma.github.io/Logging_0140/kartor_geotiff/A 37597-2024 georefererad karta.tif", "A 37597-2024")</f>
        <v/>
      </c>
      <c r="AA10">
        <f>HYPERLINK("https://klasma.github.io/Logging_0140/klagomål/A 37597-2024 FSC-klagomål.docx", "A 37597-2024")</f>
        <v/>
      </c>
      <c r="AB10">
        <f>HYPERLINK("https://klasma.github.io/Logging_0140/klagomålsmail/A 37597-2024 FSC-klagomål mail.docx", "A 37597-2024")</f>
        <v/>
      </c>
      <c r="AC10">
        <f>HYPERLINK("https://klasma.github.io/Logging_0140/tillsyn/A 37597-2024 tillsynsbegäran.docx", "A 37597-2024")</f>
        <v/>
      </c>
      <c r="AD10">
        <f>HYPERLINK("https://klasma.github.io/Logging_0140/tillsynsmail/A 37597-2024 tillsynsbegäran mail.docx", "A 37597-2024")</f>
        <v/>
      </c>
      <c r="AE10">
        <f>HYPERLINK("https://klasma.github.io/Logging_0140/fåglar/A 37597-2024 prioriterade fågelarter.docx", "A 37597-2024")</f>
        <v/>
      </c>
    </row>
    <row r="11" ht="15" customHeight="1">
      <c r="A11" t="inlineStr">
        <is>
          <t>A 39539-2023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45167</v>
      </c>
      <c r="E11" s="1" t="n">
        <v>46324</v>
      </c>
      <c r="F11" t="inlineStr">
        <is>
          <t>STOCKHOLMS LÄN</t>
        </is>
      </c>
      <c r="G11" t="inlineStr">
        <is>
          <t>NYKVARN</t>
        </is>
      </c>
      <c r="I11" t="n">
        <v>2.3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39539-2023 artfynd.xlsx", "A 39539-2023")</f>
        <v/>
      </c>
      <c r="X11">
        <f>HYPERLINK("https://klasma.github.io/Logging_0140/kartor/A 39539-2023 karta.png", "A 39539-2023")</f>
        <v/>
      </c>
      <c r="Y11">
        <f>HYPERLINK("https://klasma.github.io/Logging_0140/kartor_geotiff/A 39539-2023 georefererad karta.tif", "A 39539-2023")</f>
        <v/>
      </c>
      <c r="AA11">
        <f>HYPERLINK("https://klasma.github.io/Logging_0140/klagomål/A 39539-2023 FSC-klagomål.docx", "A 39539-2023")</f>
        <v/>
      </c>
      <c r="AB11">
        <f>HYPERLINK("https://klasma.github.io/Logging_0140/klagomålsmail/A 39539-2023 FSC-klagomål mail.docx", "A 39539-2023")</f>
        <v/>
      </c>
      <c r="AC11">
        <f>HYPERLINK("https://klasma.github.io/Logging_0140/tillsyn/A 39539-2023 tillsynsbegäran.docx", "A 39539-2023")</f>
        <v/>
      </c>
      <c r="AD11">
        <f>HYPERLINK("https://klasma.github.io/Logging_0140/tillsynsmail/A 39539-2023 tillsynsbegäran mail.docx", "A 39539-2023")</f>
        <v/>
      </c>
    </row>
    <row r="12" ht="15" customHeight="1">
      <c r="A12" t="inlineStr">
        <is>
          <t>A 6876-2022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46324</v>
      </c>
      <c r="F12" t="inlineStr">
        <is>
          <t>STOCKHOLMS LÄN</t>
        </is>
      </c>
      <c r="G12" t="inlineStr">
        <is>
          <t>NYKVARN</t>
        </is>
      </c>
      <c r="H12" t="inlineStr">
        <is>
          <t>Kommuner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HYPERLINK("https://klasma.github.io/Logging_0140/artfynd/A 6876-2022 artfynd.xlsx", "A 6876-2022")</f>
        <v/>
      </c>
      <c r="X12">
        <f>HYPERLINK("https://klasma.github.io/Logging_0140/kartor/A 6876-2022 karta.png", "A 6876-2022")</f>
        <v/>
      </c>
      <c r="Y12">
        <f>HYPERLINK("https://klasma.github.io/Logging_0140/kartor_geotiff/A 6876-2022 georefererad karta.tif", "A 6876-2022")</f>
        <v/>
      </c>
      <c r="AA12">
        <f>HYPERLINK("https://klasma.github.io/Logging_0140/klagomål/A 6876-2022 FSC-klagomål.docx", "A 6876-2022")</f>
        <v/>
      </c>
      <c r="AB12">
        <f>HYPERLINK("https://klasma.github.io/Logging_0140/klagomålsmail/A 6876-2022 FSC-klagomål mail.docx", "A 6876-2022")</f>
        <v/>
      </c>
      <c r="AC12">
        <f>HYPERLINK("https://klasma.github.io/Logging_0140/tillsyn/A 6876-2022 tillsynsbegäran.docx", "A 6876-2022")</f>
        <v/>
      </c>
      <c r="AD12">
        <f>HYPERLINK("https://klasma.github.io/Logging_0140/tillsynsmail/A 6876-2022 tillsynsbegäran mail.docx", "A 6876-2022")</f>
        <v/>
      </c>
    </row>
    <row r="13" ht="15" customHeight="1">
      <c r="A13" t="inlineStr">
        <is>
          <t>A 8285-2022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44610</v>
      </c>
      <c r="E13" s="1" t="n">
        <v>46324</v>
      </c>
      <c r="F13" t="inlineStr">
        <is>
          <t>STOCKHOLMS LÄN</t>
        </is>
      </c>
      <c r="G13" t="inlineStr">
        <is>
          <t>NYKVARN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HYPERLINK("https://klasma.github.io/Logging_0140/artfynd/A 8285-2022 artfynd.xlsx", "A 8285-2022")</f>
        <v/>
      </c>
      <c r="X13">
        <f>HYPERLINK("https://klasma.github.io/Logging_0140/kartor/A 8285-2022 karta.png", "A 8285-2022")</f>
        <v/>
      </c>
      <c r="Y13">
        <f>HYPERLINK("https://klasma.github.io/Logging_0140/kartor_geotiff/A 8285-2022 georefererad karta.tif", "A 8285-2022")</f>
        <v/>
      </c>
      <c r="AA13">
        <f>HYPERLINK("https://klasma.github.io/Logging_0140/klagomål/A 8285-2022 FSC-klagomål.docx", "A 8285-2022")</f>
        <v/>
      </c>
      <c r="AB13">
        <f>HYPERLINK("https://klasma.github.io/Logging_0140/klagomålsmail/A 8285-2022 FSC-klagomål mail.docx", "A 8285-2022")</f>
        <v/>
      </c>
      <c r="AC13">
        <f>HYPERLINK("https://klasma.github.io/Logging_0140/tillsyn/A 8285-2022 tillsynsbegäran.docx", "A 8285-2022")</f>
        <v/>
      </c>
      <c r="AD13">
        <f>HYPERLINK("https://klasma.github.io/Logging_0140/tillsynsmail/A 8285-2022 tillsynsbegäran mail.docx", "A 8285-2022")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46324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46324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11393-2022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44630</v>
      </c>
      <c r="E16" s="1" t="n">
        <v>46324</v>
      </c>
      <c r="F16" t="inlineStr">
        <is>
          <t>STOCKHOLMS LÄN</t>
        </is>
      </c>
      <c r="G16" t="inlineStr">
        <is>
          <t>NYKVARN</t>
        </is>
      </c>
      <c r="I16" t="n">
        <v>3.8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Björksplintborre</t>
        </is>
      </c>
      <c r="W16">
        <f>HYPERLINK("https://klasma.github.io/Logging_0140/artfynd/A 11393-2022 artfynd.xlsx", "A 11393-2022")</f>
        <v/>
      </c>
      <c r="X16">
        <f>HYPERLINK("https://klasma.github.io/Logging_0140/kartor/A 11393-2022 karta.png", "A 11393-2022")</f>
        <v/>
      </c>
      <c r="Y16">
        <f>HYPERLINK("https://klasma.github.io/Logging_0140/kartor_geotiff/A 11393-2022 georefererad karta.tif", "A 11393-2022")</f>
        <v/>
      </c>
      <c r="AA16">
        <f>HYPERLINK("https://klasma.github.io/Logging_0140/klagomål/A 11393-2022 FSC-klagomål.docx", "A 11393-2022")</f>
        <v/>
      </c>
      <c r="AB16">
        <f>HYPERLINK("https://klasma.github.io/Logging_0140/klagomålsmail/A 11393-2022 FSC-klagomål mail.docx", "A 11393-2022")</f>
        <v/>
      </c>
      <c r="AC16">
        <f>HYPERLINK("https://klasma.github.io/Logging_0140/tillsyn/A 11393-2022 tillsynsbegäran.docx", "A 11393-2022")</f>
        <v/>
      </c>
      <c r="AD16">
        <f>HYPERLINK("https://klasma.github.io/Logging_0140/tillsynsmail/A 11393-2022 tillsynsbegäran mail.docx", "A 11393-2022")</f>
        <v/>
      </c>
    </row>
    <row r="17" ht="15" customHeight="1">
      <c r="A17" t="inlineStr">
        <is>
          <t>A 11388-2024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45372</v>
      </c>
      <c r="E17" s="1" t="n">
        <v>46324</v>
      </c>
      <c r="F17" t="inlineStr">
        <is>
          <t>STOCKHOLMS LÄN</t>
        </is>
      </c>
      <c r="G17" t="inlineStr">
        <is>
          <t>NYKVARN</t>
        </is>
      </c>
      <c r="I17" t="n">
        <v>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3</v>
      </c>
      <c r="U17" t="n">
        <v>3</v>
      </c>
      <c r="V17" s="2" t="inlineStr">
        <is>
          <t>Igelkott</t>
        </is>
      </c>
      <c r="W17">
        <f>HYPERLINK("https://klasma.github.io/Logging_0140/artfynd/A 11388-2024 artfynd.xlsx", "A 11388-2024")</f>
        <v/>
      </c>
      <c r="X17">
        <f>HYPERLINK("https://klasma.github.io/Logging_0140/kartor/A 11388-2024 karta.png", "A 11388-2024")</f>
        <v/>
      </c>
      <c r="Y17">
        <f>HYPERLINK("https://klasma.github.io/Logging_0140/kartor_geotiff/A 11388-2024 georefererad karta.tif", "A 11388-2024")</f>
        <v/>
      </c>
      <c r="AA17">
        <f>HYPERLINK("https://klasma.github.io/Logging_0140/klagomål/A 11388-2024 FSC-klagomål.docx", "A 11388-2024")</f>
        <v/>
      </c>
      <c r="AB17">
        <f>HYPERLINK("https://klasma.github.io/Logging_0140/klagomålsmail/A 11388-2024 FSC-klagomål mail.docx", "A 11388-2024")</f>
        <v/>
      </c>
      <c r="AC17">
        <f>HYPERLINK("https://klasma.github.io/Logging_0140/tillsyn/A 11388-2024 tillsynsbegäran.docx", "A 11388-2024")</f>
        <v/>
      </c>
      <c r="AD17">
        <f>HYPERLINK("https://klasma.github.io/Logging_0140/tillsynsmail/A 11388-2024 tillsynsbegäran mail.docx", "A 11388-2024")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46324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46324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A 18848-2024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45426</v>
      </c>
      <c r="E20" s="1" t="n">
        <v>46324</v>
      </c>
      <c r="F20" t="inlineStr">
        <is>
          <t>STOCKHOLMS LÄN</t>
        </is>
      </c>
      <c r="G20" t="inlineStr">
        <is>
          <t>NYKVARN</t>
        </is>
      </c>
      <c r="I20" t="n">
        <v>0.6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HYPERLINK("https://klasma.github.io/Logging_0140/artfynd/A 18848-2024 artfynd.xlsx", "A 18848-2024")</f>
        <v/>
      </c>
      <c r="X20">
        <f>HYPERLINK("https://klasma.github.io/Logging_0140/kartor/A 18848-2024 karta.png", "A 18848-2024")</f>
        <v/>
      </c>
      <c r="Y20">
        <f>HYPERLINK("https://klasma.github.io/Logging_0140/kartor_geotiff/A 18848-2024 georefererad karta.tif", "A 18848-2024")</f>
        <v/>
      </c>
      <c r="AA20">
        <f>HYPERLINK("https://klasma.github.io/Logging_0140/klagomål/A 18848-2024 FSC-klagomål.docx", "A 18848-2024")</f>
        <v/>
      </c>
      <c r="AB20">
        <f>HYPERLINK("https://klasma.github.io/Logging_0140/klagomålsmail/A 18848-2024 FSC-klagomål mail.docx", "A 18848-2024")</f>
        <v/>
      </c>
      <c r="AC20">
        <f>HYPERLINK("https://klasma.github.io/Logging_0140/tillsyn/A 18848-2024 tillsynsbegäran.docx", "A 18848-2024")</f>
        <v/>
      </c>
      <c r="AD20">
        <f>HYPERLINK("https://klasma.github.io/Logging_0140/tillsynsmail/A 18848-2024 tillsynsbegäran mail.docx", "A 18848-2024")</f>
        <v/>
      </c>
    </row>
    <row r="21" ht="15" customHeight="1">
      <c r="A21" t="inlineStr">
        <is>
          <t>A 25754-2023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45084</v>
      </c>
      <c r="E21" s="1" t="n">
        <v>46324</v>
      </c>
      <c r="F21" t="inlineStr">
        <is>
          <t>STOCKHOLMS LÄN</t>
        </is>
      </c>
      <c r="G21" t="inlineStr">
        <is>
          <t>NYKVARN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HYPERLINK("https://klasma.github.io/Logging_0140/artfynd/A 25754-2023 artfynd.xlsx", "A 25754-2023")</f>
        <v/>
      </c>
      <c r="X21">
        <f>HYPERLINK("https://klasma.github.io/Logging_0140/kartor/A 25754-2023 karta.png", "A 25754-2023")</f>
        <v/>
      </c>
      <c r="Y21">
        <f>HYPERLINK("https://klasma.github.io/Logging_0140/kartor_geotiff/A 25754-2023 georefererad karta.tif", "A 25754-2023")</f>
        <v/>
      </c>
      <c r="AA21">
        <f>HYPERLINK("https://klasma.github.io/Logging_0140/klagomål/A 25754-2023 FSC-klagomål.docx", "A 25754-2023")</f>
        <v/>
      </c>
      <c r="AB21">
        <f>HYPERLINK("https://klasma.github.io/Logging_0140/klagomålsmail/A 25754-2023 FSC-klagomål mail.docx", "A 25754-2023")</f>
        <v/>
      </c>
      <c r="AC21">
        <f>HYPERLINK("https://klasma.github.io/Logging_0140/tillsyn/A 25754-2023 tillsynsbegäran.docx", "A 25754-2023")</f>
        <v/>
      </c>
      <c r="AD21">
        <f>HYPERLINK("https://klasma.github.io/Logging_0140/tillsynsmail/A 25754-2023 tillsynsbegäran mail.docx", "A 25754-2023")</f>
        <v/>
      </c>
      <c r="AE21">
        <f>HYPERLINK("https://klasma.github.io/Logging_0140/fåglar/A 25754-2023 prioriterade fågelarter.docx", "A 25754-2023")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46324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46324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46324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46324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46324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46324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46324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46324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46324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46324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46324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46324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46324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67220-2021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44523</v>
      </c>
      <c r="E35" s="1" t="n">
        <v>46324</v>
      </c>
      <c r="F35" t="inlineStr">
        <is>
          <t>STOCKHOLMS LÄN</t>
        </is>
      </c>
      <c r="G35" t="inlineStr">
        <is>
          <t>NYKVARN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24281-2022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46324</v>
      </c>
      <c r="F36" t="inlineStr">
        <is>
          <t>STOCKHOLMS LÄN</t>
        </is>
      </c>
      <c r="G36" t="inlineStr">
        <is>
          <t>NYKVARN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45792</v>
      </c>
      <c r="E37" s="1" t="n">
        <v>46324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46324</v>
      </c>
      <c r="F38" t="inlineStr">
        <is>
          <t>STOCKHOLMS LÄN</t>
        </is>
      </c>
      <c r="G38" t="inlineStr">
        <is>
          <t>NYKVARN</t>
        </is>
      </c>
      <c r="H38" t="inlineStr">
        <is>
          <t>Kommuner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45235</v>
      </c>
      <c r="E39" s="1" t="n">
        <v>46324</v>
      </c>
      <c r="F39" t="inlineStr">
        <is>
          <t>STOCKHOLMS LÄN</t>
        </is>
      </c>
      <c r="G39" t="inlineStr">
        <is>
          <t>NYKVARN</t>
        </is>
      </c>
      <c r="H39" t="inlineStr">
        <is>
          <t>Kommuner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17328-2025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45756</v>
      </c>
      <c r="E40" s="1" t="n">
        <v>46324</v>
      </c>
      <c r="F40" t="inlineStr">
        <is>
          <t>STOCKHOLMS LÄN</t>
        </is>
      </c>
      <c r="G40" t="inlineStr">
        <is>
          <t>NYKVARN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45243</v>
      </c>
      <c r="E41" s="1" t="n">
        <v>46324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44872</v>
      </c>
      <c r="E42" s="1" t="n">
        <v>46324</v>
      </c>
      <c r="F42" t="inlineStr">
        <is>
          <t>STOCKHOLMS LÄN</t>
        </is>
      </c>
      <c r="G42" t="inlineStr">
        <is>
          <t>NYKVARN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45274</v>
      </c>
      <c r="E43" s="1" t="n">
        <v>46324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46324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19487-2023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45050</v>
      </c>
      <c r="E45" s="1" t="n">
        <v>46324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45044</v>
      </c>
      <c r="E46" s="1" t="n">
        <v>46324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46324</v>
      </c>
      <c r="F47" t="inlineStr">
        <is>
          <t>STOCKHOLMS LÄN</t>
        </is>
      </c>
      <c r="G47" t="inlineStr">
        <is>
          <t>NYKVARN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63586-2023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45275</v>
      </c>
      <c r="E48" s="1" t="n">
        <v>46324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50031-2023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46324</v>
      </c>
      <c r="F49" t="inlineStr">
        <is>
          <t>STOCKHOLMS LÄN</t>
        </is>
      </c>
      <c r="G49" t="inlineStr">
        <is>
          <t>NYKVARN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25278-2022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44730</v>
      </c>
      <c r="E50" s="1" t="n">
        <v>46324</v>
      </c>
      <c r="F50" t="inlineStr">
        <is>
          <t>STOCKHOLMS LÄN</t>
        </is>
      </c>
      <c r="G50" t="inlineStr">
        <is>
          <t>NYKVARN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71540-2021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44540</v>
      </c>
      <c r="E51" s="1" t="n">
        <v>46324</v>
      </c>
      <c r="F51" t="inlineStr">
        <is>
          <t>STOCKHOLMS LÄN</t>
        </is>
      </c>
      <c r="G51" t="inlineStr">
        <is>
          <t>NYKVARN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7926-2023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46324</v>
      </c>
      <c r="F52" t="inlineStr">
        <is>
          <t>STOCKHOLMS LÄN</t>
        </is>
      </c>
      <c r="G52" t="inlineStr">
        <is>
          <t>NYKVARN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44713</v>
      </c>
      <c r="E53" s="1" t="n">
        <v>46324</v>
      </c>
      <c r="F53" t="inlineStr">
        <is>
          <t>STOCKHOLMS LÄN</t>
        </is>
      </c>
      <c r="G53" t="inlineStr">
        <is>
          <t>NYKVARN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19903-2023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46324</v>
      </c>
      <c r="F54" t="inlineStr">
        <is>
          <t>STOCKHOLMS LÄN</t>
        </is>
      </c>
      <c r="G54" t="inlineStr">
        <is>
          <t>NYKVARN</t>
        </is>
      </c>
      <c r="I54" t="n">
        <v>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46324</v>
      </c>
      <c r="F55" t="inlineStr">
        <is>
          <t>STOCKHOLMS LÄN</t>
        </is>
      </c>
      <c r="G55" t="inlineStr">
        <is>
          <t>NYKVARN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45989</v>
      </c>
      <c r="E56" s="1" t="n">
        <v>46324</v>
      </c>
      <c r="F56" t="inlineStr">
        <is>
          <t>STOCKHOLMS LÄN</t>
        </is>
      </c>
      <c r="G56" t="inlineStr">
        <is>
          <t>NYKVARN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24796-2026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46324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46324</v>
      </c>
      <c r="F58" t="inlineStr">
        <is>
          <t>STOCKHOLMS LÄN</t>
        </is>
      </c>
      <c r="G58" t="inlineStr">
        <is>
          <t>NYKVARN</t>
        </is>
      </c>
      <c r="I58" t="n">
        <v>10.6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46324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44969-2022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44841</v>
      </c>
      <c r="E60" s="1" t="n">
        <v>46324</v>
      </c>
      <c r="F60" t="inlineStr">
        <is>
          <t>STOCKHOLMS LÄN</t>
        </is>
      </c>
      <c r="G60" t="inlineStr">
        <is>
          <t>NYKVARN</t>
        </is>
      </c>
      <c r="H60" t="inlineStr">
        <is>
          <t>Sveaskog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45309</v>
      </c>
      <c r="E61" s="1" t="n">
        <v>46324</v>
      </c>
      <c r="F61" t="inlineStr">
        <is>
          <t>STOCKHOLMS LÄN</t>
        </is>
      </c>
      <c r="G61" t="inlineStr">
        <is>
          <t>NYKVARN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63592-2023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46324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46324</v>
      </c>
      <c r="F63" t="inlineStr">
        <is>
          <t>STOCKHOLMS LÄN</t>
        </is>
      </c>
      <c r="G63" t="inlineStr">
        <is>
          <t>NYKVARN</t>
        </is>
      </c>
      <c r="H63" t="inlineStr">
        <is>
          <t>Allmännings- och besparingsskogar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46324</v>
      </c>
      <c r="F64" t="inlineStr">
        <is>
          <t>STOCKHOLMS LÄN</t>
        </is>
      </c>
      <c r="G64" t="inlineStr">
        <is>
          <t>NYKVARN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46227</v>
      </c>
      <c r="E65" s="1" t="n">
        <v>46324</v>
      </c>
      <c r="F65" t="inlineStr">
        <is>
          <t>STOCKHOLMS LÄN</t>
        </is>
      </c>
      <c r="G65" t="inlineStr">
        <is>
          <t>NYKVARN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46227</v>
      </c>
      <c r="E66" s="1" t="n">
        <v>46324</v>
      </c>
      <c r="F66" t="inlineStr">
        <is>
          <t>STOCKHOLMS LÄN</t>
        </is>
      </c>
      <c r="G66" t="inlineStr">
        <is>
          <t>NYKVARN</t>
        </is>
      </c>
      <c r="I66" t="n">
        <v>9.300000000000001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45309</v>
      </c>
      <c r="E67" s="1" t="n">
        <v>46324</v>
      </c>
      <c r="F67" t="inlineStr">
        <is>
          <t>STOCKHOLMS LÄN</t>
        </is>
      </c>
      <c r="G67" t="inlineStr">
        <is>
          <t>NYKVARN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46324</v>
      </c>
      <c r="F68" t="inlineStr">
        <is>
          <t>STOCKHOLMS LÄN</t>
        </is>
      </c>
      <c r="G68" t="inlineStr">
        <is>
          <t>NYKVARN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46324</v>
      </c>
      <c r="F69" t="inlineStr">
        <is>
          <t>STOCKHOLMS LÄN</t>
        </is>
      </c>
      <c r="G69" t="inlineStr">
        <is>
          <t>NYKVARN</t>
        </is>
      </c>
      <c r="H69" t="inlineStr">
        <is>
          <t>Kyrkan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46324</v>
      </c>
      <c r="F70" t="inlineStr">
        <is>
          <t>STOCKHOLMS LÄN</t>
        </is>
      </c>
      <c r="G70" t="inlineStr">
        <is>
          <t>NYKVARN</t>
        </is>
      </c>
      <c r="H70" t="inlineStr">
        <is>
          <t>Kommuner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32555-2023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45121</v>
      </c>
      <c r="E71" s="1" t="n">
        <v>46324</v>
      </c>
      <c r="F71" t="inlineStr">
        <is>
          <t>STOCKHOLMS LÄN</t>
        </is>
      </c>
      <c r="G71" t="inlineStr">
        <is>
          <t>NYKVARN</t>
        </is>
      </c>
      <c r="H71" t="inlineStr">
        <is>
          <t>Sveaskog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44910</v>
      </c>
      <c r="E72" s="1" t="n">
        <v>46324</v>
      </c>
      <c r="F72" t="inlineStr">
        <is>
          <t>STOCKHOLMS LÄN</t>
        </is>
      </c>
      <c r="G72" t="inlineStr">
        <is>
          <t>NYKVARN</t>
        </is>
      </c>
      <c r="H72" t="inlineStr">
        <is>
          <t>Kyrkan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46324</v>
      </c>
      <c r="F73" t="inlineStr">
        <is>
          <t>STOCKHOLMS LÄN</t>
        </is>
      </c>
      <c r="G73" t="inlineStr">
        <is>
          <t>NYKVARN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44834</v>
      </c>
      <c r="E74" s="1" t="n">
        <v>46324</v>
      </c>
      <c r="F74" t="inlineStr">
        <is>
          <t>STOCKHOLMS LÄN</t>
        </is>
      </c>
      <c r="G74" t="inlineStr">
        <is>
          <t>NYKVARN</t>
        </is>
      </c>
      <c r="H74" t="inlineStr">
        <is>
          <t>Allmännings- och besparingsskogar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46324</v>
      </c>
      <c r="F75" t="inlineStr">
        <is>
          <t>STOCKHOLMS LÄN</t>
        </is>
      </c>
      <c r="G75" t="inlineStr">
        <is>
          <t>NYKVARN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37306-2026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46324</v>
      </c>
      <c r="F76" t="inlineStr">
        <is>
          <t>STOCKHOLMS LÄN</t>
        </is>
      </c>
      <c r="G76" t="inlineStr">
        <is>
          <t>NYKVARN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36919-2026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46324</v>
      </c>
      <c r="F77" t="inlineStr">
        <is>
          <t>STOCKHOLMS LÄN</t>
        </is>
      </c>
      <c r="G77" t="inlineStr">
        <is>
          <t>NYKVARN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40168-2023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45169</v>
      </c>
      <c r="E78" s="1" t="n">
        <v>46324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46324</v>
      </c>
      <c r="F79" t="inlineStr">
        <is>
          <t>STOCKHOLMS LÄN</t>
        </is>
      </c>
      <c r="G79" t="inlineStr">
        <is>
          <t>NYKVARN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45173</v>
      </c>
      <c r="E80" s="1" t="n">
        <v>46324</v>
      </c>
      <c r="F80" t="inlineStr">
        <is>
          <t>STOCKHOLMS LÄN</t>
        </is>
      </c>
      <c r="G80" t="inlineStr">
        <is>
          <t>NYKVARN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37266-2026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46274</v>
      </c>
      <c r="E81" s="1" t="n">
        <v>46324</v>
      </c>
      <c r="F81" t="inlineStr">
        <is>
          <t>STOCKHOLMS LÄN</t>
        </is>
      </c>
      <c r="G81" t="inlineStr">
        <is>
          <t>NYKVARN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37244-2026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46274</v>
      </c>
      <c r="E82" s="1" t="n">
        <v>46324</v>
      </c>
      <c r="F82" t="inlineStr">
        <is>
          <t>STOCKHOLMS LÄN</t>
        </is>
      </c>
      <c r="G82" t="inlineStr">
        <is>
          <t>NYKVARN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46324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46324</v>
      </c>
      <c r="F84" t="inlineStr">
        <is>
          <t>STOCKHOLMS LÄN</t>
        </is>
      </c>
      <c r="G84" t="inlineStr">
        <is>
          <t>NYKVARN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46324</v>
      </c>
      <c r="F85" t="inlineStr">
        <is>
          <t>STOCKHOLMS LÄN</t>
        </is>
      </c>
      <c r="G85" t="inlineStr">
        <is>
          <t>NYKVARN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46324</v>
      </c>
      <c r="F86" t="inlineStr">
        <is>
          <t>STOCKHOLMS LÄN</t>
        </is>
      </c>
      <c r="G86" t="inlineStr">
        <is>
          <t>NYKVARN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46324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46324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2026-10-29T03:15:37Z</dcterms:created>
  <dcterms:modified xmlns:dcterms="http://purl.org/dc/terms/" xmlns:xsi="http://www.w3.org/2001/XMLSchema-instance" xsi:type="dcterms:W3CDTF">2026-10-29T03:15:37Z</dcterms:modified>
</cp:coreProperties>
</file>