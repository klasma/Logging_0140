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46302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46302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46302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46302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46302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46302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46302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46302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46302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46302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46302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46302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46302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46302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46302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46302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41251-2026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46302</v>
      </c>
      <c r="F20" t="inlineStr">
        <is>
          <t>STOCKHOLMS LÄN</t>
        </is>
      </c>
      <c r="G20" t="inlineStr">
        <is>
          <t>NYKVARN</t>
        </is>
      </c>
      <c r="H20" t="inlineStr">
        <is>
          <t>Sveaskog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41251-2026 artfynd.xlsx", "A 41251-2026")</f>
        <v/>
      </c>
      <c r="X20">
        <f>HYPERLINK("https://klasma.github.io/Logging_0140/kartor/A 41251-2026 karta.png", "A 41251-2026")</f>
        <v/>
      </c>
      <c r="Y20">
        <f>HYPERLINK("https://klasma.github.io/Logging_0140/kartor_geotiff/A 41251-2026 georefererad karta.tif", "A 41251-2026")</f>
        <v/>
      </c>
      <c r="AA20">
        <f>HYPERLINK("https://klasma.github.io/Logging_0140/klagomål/A 41251-2026 FSC-klagomål.docx", "A 41251-2026")</f>
        <v/>
      </c>
      <c r="AB20">
        <f>HYPERLINK("https://klasma.github.io/Logging_0140/klagomålsmail/A 41251-2026 FSC-klagomål mail.docx", "A 41251-2026")</f>
        <v/>
      </c>
      <c r="AC20">
        <f>HYPERLINK("https://klasma.github.io/Logging_0140/tillsyn/A 41251-2026 tillsynsbegäran.docx", "A 41251-2026")</f>
        <v/>
      </c>
      <c r="AD20">
        <f>HYPERLINK("https://klasma.github.io/Logging_0140/tillsynsmail/A 41251-2026 tillsynsbegäran mail.docx", "A 41251-2026")</f>
        <v/>
      </c>
    </row>
    <row r="21" ht="15" customHeight="1">
      <c r="A21" t="inlineStr">
        <is>
          <t>A 11393-2022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44630</v>
      </c>
      <c r="E21" s="1" t="n">
        <v>46302</v>
      </c>
      <c r="F21" t="inlineStr">
        <is>
          <t>STOCKHOLMS LÄN</t>
        </is>
      </c>
      <c r="G21" t="inlineStr">
        <is>
          <t>NYKVARN</t>
        </is>
      </c>
      <c r="I21" t="n">
        <v>3.8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HYPERLINK("https://klasma.github.io/Logging_0140/artfynd/A 11393-2022 artfynd.xlsx", "A 11393-2022")</f>
        <v/>
      </c>
      <c r="X21">
        <f>HYPERLINK("https://klasma.github.io/Logging_0140/kartor/A 11393-2022 karta.png", "A 11393-2022")</f>
        <v/>
      </c>
      <c r="Y21">
        <f>HYPERLINK("https://klasma.github.io/Logging_0140/kartor_geotiff/A 11393-2022 georefererad karta.tif", "A 11393-2022")</f>
        <v/>
      </c>
      <c r="AA21">
        <f>HYPERLINK("https://klasma.github.io/Logging_0140/klagomål/A 11393-2022 FSC-klagomål.docx", "A 11393-2022")</f>
        <v/>
      </c>
      <c r="AB21">
        <f>HYPERLINK("https://klasma.github.io/Logging_0140/klagomålsmail/A 11393-2022 FSC-klagomål mail.docx", "A 11393-2022")</f>
        <v/>
      </c>
      <c r="AC21">
        <f>HYPERLINK("https://klasma.github.io/Logging_0140/tillsyn/A 11393-2022 tillsynsbegäran.docx", "A 11393-2022")</f>
        <v/>
      </c>
      <c r="AD21">
        <f>HYPERLINK("https://klasma.github.io/Logging_0140/tillsynsmail/A 11393-2022 tillsynsbegäran mail.docx", "A 11393-2022")</f>
        <v/>
      </c>
    </row>
    <row r="22" ht="15" customHeight="1">
      <c r="A22" t="inlineStr">
        <is>
          <t>A 23279-2025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45791</v>
      </c>
      <c r="E22" s="1" t="n">
        <v>46302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23279-2025 artfynd.xlsx", "A 23279-2025")</f>
        <v/>
      </c>
      <c r="X22">
        <f>HYPERLINK("https://klasma.github.io/Logging_0140/kartor/A 23279-2025 karta.png", "A 23279-2025")</f>
        <v/>
      </c>
      <c r="Y22">
        <f>HYPERLINK("https://klasma.github.io/Logging_0140/kartor_geotiff/A 23279-2025 georefererad karta.tif", "A 23279-2025")</f>
        <v/>
      </c>
      <c r="AA22">
        <f>HYPERLINK("https://klasma.github.io/Logging_0140/klagomål/A 23279-2025 FSC-klagomål.docx", "A 23279-2025")</f>
        <v/>
      </c>
      <c r="AB22">
        <f>HYPERLINK("https://klasma.github.io/Logging_0140/klagomålsmail/A 23279-2025 FSC-klagomål mail.docx", "A 23279-2025")</f>
        <v/>
      </c>
      <c r="AC22">
        <f>HYPERLINK("https://klasma.github.io/Logging_0140/tillsyn/A 23279-2025 tillsynsbegäran.docx", "A 23279-2025")</f>
        <v/>
      </c>
      <c r="AD22">
        <f>HYPERLINK("https://klasma.github.io/Logging_0140/tillsynsmail/A 23279-2025 tillsynsbegäran mail.docx", "A 23279-2025")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46302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46302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46302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46302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46302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46302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46302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46302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46302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46302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46302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46302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46302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46302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46302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46302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46302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46302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53307-2023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46302</v>
      </c>
      <c r="F41" t="inlineStr">
        <is>
          <t>STOCKHOLMS LÄN</t>
        </is>
      </c>
      <c r="G41" t="inlineStr">
        <is>
          <t>NYKVARN</t>
        </is>
      </c>
      <c r="H41" t="inlineStr">
        <is>
          <t>Kyrkan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46302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32555-2023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45121</v>
      </c>
      <c r="E43" s="1" t="n">
        <v>46302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46302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46302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46302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19217-2026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46302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46302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45989</v>
      </c>
      <c r="E49" s="1" t="n">
        <v>46302</v>
      </c>
      <c r="F49" t="inlineStr">
        <is>
          <t>STOCKHOLMS LÄN</t>
        </is>
      </c>
      <c r="G49" t="inlineStr">
        <is>
          <t>NYKVARN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46302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45874</v>
      </c>
      <c r="E51" s="1" t="n">
        <v>46302</v>
      </c>
      <c r="F51" t="inlineStr">
        <is>
          <t>STOCKHOLMS LÄN</t>
        </is>
      </c>
      <c r="G51" t="inlineStr">
        <is>
          <t>NYKVARN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40168-2023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45169</v>
      </c>
      <c r="E52" s="1" t="n">
        <v>46302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41681-2023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45173</v>
      </c>
      <c r="E53" s="1" t="n">
        <v>46302</v>
      </c>
      <c r="F53" t="inlineStr">
        <is>
          <t>STOCKHOLMS LÄN</t>
        </is>
      </c>
      <c r="G53" t="inlineStr">
        <is>
          <t>NYKVARN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46302</v>
      </c>
      <c r="F54" t="inlineStr">
        <is>
          <t>STOCKHOLMS LÄN</t>
        </is>
      </c>
      <c r="G54" t="inlineStr">
        <is>
          <t>NYKVARN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46302</v>
      </c>
      <c r="F55" t="inlineStr">
        <is>
          <t>STOCKHOLMS LÄN</t>
        </is>
      </c>
      <c r="G55" t="inlineStr">
        <is>
          <t>NYKVARN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46302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45235</v>
      </c>
      <c r="E57" s="1" t="n">
        <v>46302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17328-2025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45756</v>
      </c>
      <c r="E58" s="1" t="n">
        <v>46302</v>
      </c>
      <c r="F58" t="inlineStr">
        <is>
          <t>STOCKHOLMS LÄN</t>
        </is>
      </c>
      <c r="G58" t="inlineStr">
        <is>
          <t>NYKVARN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46302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46302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46302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46302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46302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46302</v>
      </c>
      <c r="F64" t="inlineStr">
        <is>
          <t>STOCKHOLMS LÄN</t>
        </is>
      </c>
      <c r="G64" t="inlineStr">
        <is>
          <t>NYKVARN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46227</v>
      </c>
      <c r="E65" s="1" t="n">
        <v>46302</v>
      </c>
      <c r="F65" t="inlineStr">
        <is>
          <t>STOCKHOLMS LÄN</t>
        </is>
      </c>
      <c r="G65" t="inlineStr">
        <is>
          <t>NYKVARN</t>
        </is>
      </c>
      <c r="I65" t="n">
        <v>9.300000000000001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46302</v>
      </c>
      <c r="F66" t="inlineStr">
        <is>
          <t>STOCKHOLMS LÄN</t>
        </is>
      </c>
      <c r="G66" t="inlineStr">
        <is>
          <t>NYKVARN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63586-2023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45275</v>
      </c>
      <c r="E67" s="1" t="n">
        <v>46302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46302</v>
      </c>
      <c r="F68" t="inlineStr">
        <is>
          <t>STOCKHOLMS LÄN</t>
        </is>
      </c>
      <c r="G68" t="inlineStr">
        <is>
          <t>NYKVARN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46274</v>
      </c>
      <c r="E69" s="1" t="n">
        <v>46302</v>
      </c>
      <c r="F69" t="inlineStr">
        <is>
          <t>STOCKHOLMS LÄN</t>
        </is>
      </c>
      <c r="G69" t="inlineStr">
        <is>
          <t>NYKVARN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46274</v>
      </c>
      <c r="E70" s="1" t="n">
        <v>46302</v>
      </c>
      <c r="F70" t="inlineStr">
        <is>
          <t>STOCKHOLMS LÄN</t>
        </is>
      </c>
      <c r="G70" t="inlineStr">
        <is>
          <t>NYKVARN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46302</v>
      </c>
      <c r="F71" t="inlineStr">
        <is>
          <t>STOCKHOLMS LÄN</t>
        </is>
      </c>
      <c r="G71" t="inlineStr">
        <is>
          <t>NYKVARN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37244-2026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46274</v>
      </c>
      <c r="E72" s="1" t="n">
        <v>46302</v>
      </c>
      <c r="F72" t="inlineStr">
        <is>
          <t>STOCKHOLMS LÄN</t>
        </is>
      </c>
      <c r="G72" t="inlineStr">
        <is>
          <t>NYKVARN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37266-2026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46274</v>
      </c>
      <c r="E73" s="1" t="n">
        <v>46302</v>
      </c>
      <c r="F73" t="inlineStr">
        <is>
          <t>STOCKHOLMS LÄN</t>
        </is>
      </c>
      <c r="G73" t="inlineStr">
        <is>
          <t>NYKVARN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46302</v>
      </c>
      <c r="F74" t="inlineStr">
        <is>
          <t>STOCKHOLMS LÄN</t>
        </is>
      </c>
      <c r="G74" t="inlineStr">
        <is>
          <t>NYKVARN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46302</v>
      </c>
      <c r="F75" t="inlineStr">
        <is>
          <t>STOCKHOLMS LÄN</t>
        </is>
      </c>
      <c r="G75" t="inlineStr">
        <is>
          <t>NYKVARN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46302</v>
      </c>
      <c r="F76" t="inlineStr">
        <is>
          <t>STOCKHOLMS LÄN</t>
        </is>
      </c>
      <c r="G76" t="inlineStr">
        <is>
          <t>NYKVARN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44730</v>
      </c>
      <c r="E77" s="1" t="n">
        <v>46302</v>
      </c>
      <c r="F77" t="inlineStr">
        <is>
          <t>STOCKHOLMS LÄN</t>
        </is>
      </c>
      <c r="G77" t="inlineStr">
        <is>
          <t>NYKVARN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71540-2021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46302</v>
      </c>
      <c r="F78" t="inlineStr">
        <is>
          <t>STOCKHOLMS LÄN</t>
        </is>
      </c>
      <c r="G78" t="inlineStr">
        <is>
          <t>NYKVARN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46302</v>
      </c>
      <c r="F79" t="inlineStr">
        <is>
          <t>STOCKHOLMS LÄN</t>
        </is>
      </c>
      <c r="G79" t="inlineStr">
        <is>
          <t>NYKVARN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44713</v>
      </c>
      <c r="E80" s="1" t="n">
        <v>46302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46302</v>
      </c>
      <c r="F81" t="inlineStr">
        <is>
          <t>STOCKHOLMS LÄN</t>
        </is>
      </c>
      <c r="G81" t="inlineStr">
        <is>
          <t>NYKVARN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53337-2023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46302</v>
      </c>
      <c r="F82" t="inlineStr">
        <is>
          <t>STOCKHOLMS LÄN</t>
        </is>
      </c>
      <c r="G82" t="inlineStr">
        <is>
          <t>NYKVARN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46302</v>
      </c>
      <c r="F83" t="inlineStr">
        <is>
          <t>STOCKHOLMS LÄN</t>
        </is>
      </c>
      <c r="G83" t="inlineStr">
        <is>
          <t>NYKVARN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46302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63592-2023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45275</v>
      </c>
      <c r="E85" s="1" t="n">
        <v>46302</v>
      </c>
      <c r="F85" t="inlineStr">
        <is>
          <t>STOCKHOLMS LÄN</t>
        </is>
      </c>
      <c r="G85" t="inlineStr">
        <is>
          <t>NYKVARN</t>
        </is>
      </c>
      <c r="H85" t="inlineStr">
        <is>
          <t>Kommuner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46302</v>
      </c>
      <c r="F86" t="inlineStr">
        <is>
          <t>STOCKHOLMS LÄN</t>
        </is>
      </c>
      <c r="G86" t="inlineStr">
        <is>
          <t>NYKVARN</t>
        </is>
      </c>
      <c r="H86" t="inlineStr">
        <is>
          <t>Allmännings- och besparingsskogar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45309</v>
      </c>
      <c r="E87" s="1" t="n">
        <v>46302</v>
      </c>
      <c r="F87" t="inlineStr">
        <is>
          <t>STOCKHOLMS LÄN</t>
        </is>
      </c>
      <c r="G87" t="inlineStr">
        <is>
          <t>NYKVARN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46302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1582-2024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45427</v>
      </c>
      <c r="E89" s="1" t="n">
        <v>46302</v>
      </c>
      <c r="F89" t="inlineStr">
        <is>
          <t>STOCKHOLMS LÄN</t>
        </is>
      </c>
      <c r="G89" t="inlineStr">
        <is>
          <t>NYKVARN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710-2025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45720</v>
      </c>
      <c r="E90" s="1" t="n">
        <v>46302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2026-10-07T02:07:51Z</dcterms:created>
  <dcterms:modified xmlns:dcterms="http://purl.org/dc/terms/" xmlns:xsi="http://www.w3.org/2001/XMLSchema-instance" xsi:type="dcterms:W3CDTF">2026-10-07T02:07:51Z</dcterms:modified>
</cp:coreProperties>
</file>