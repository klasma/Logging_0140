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46217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46217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46217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46217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46217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46217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HYPERLINK("https://klasma.github.io/Logging_0140/artfynd/A 18848-2024 artfynd.xlsx", "A 18848-2024")</f>
        <v/>
      </c>
      <c r="W7">
        <f>HYPERLINK("https://klasma.github.io/Logging_0140/kartor/A 18848-2024 karta.png", "A 18848-2024")</f>
        <v/>
      </c>
      <c r="Y7">
        <f>HYPERLINK("https://klasma.github.io/Logging_0140/klagomål/A 18848-2024 FSC-klagomål.docx", "A 18848-2024")</f>
        <v/>
      </c>
      <c r="Z7">
        <f>HYPERLINK("https://klasma.github.io/Logging_0140/klagomålsmail/A 18848-2024 FSC-klagomål mail.docx", "A 18848-2024")</f>
        <v/>
      </c>
      <c r="AA7">
        <f>HYPERLINK("https://klasma.github.io/Logging_0140/tillsyn/A 18848-2024 tillsynsbegäran.docx", "A 18848-2024")</f>
        <v/>
      </c>
      <c r="AB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46217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39539-2023 artfynd.xlsx", "A 39539-2023")</f>
        <v/>
      </c>
      <c r="W8">
        <f>HYPERLINK("https://klasma.github.io/Logging_0140/kartor/A 39539-2023 karta.png", "A 39539-2023")</f>
        <v/>
      </c>
      <c r="Y8">
        <f>HYPERLINK("https://klasma.github.io/Logging_0140/klagomål/A 39539-2023 FSC-klagomål.docx", "A 39539-2023")</f>
        <v/>
      </c>
      <c r="Z8">
        <f>HYPERLINK("https://klasma.github.io/Logging_0140/klagomålsmail/A 39539-2023 FSC-klagomål mail.docx", "A 39539-2023")</f>
        <v/>
      </c>
      <c r="AA8">
        <f>HYPERLINK("https://klasma.github.io/Logging_0140/tillsyn/A 39539-2023 tillsynsbegäran.docx", "A 39539-2023")</f>
        <v/>
      </c>
      <c r="AB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46217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Björksplintborre</t>
        </is>
      </c>
      <c r="V9">
        <f>HYPERLINK("https://klasma.github.io/Logging_0140/artfynd/A 11393-2022 artfynd.xlsx", "A 11393-2022")</f>
        <v/>
      </c>
      <c r="W9">
        <f>HYPERLINK("https://klasma.github.io/Logging_0140/kartor/A 11393-2022 karta.png", "A 11393-2022")</f>
        <v/>
      </c>
      <c r="Y9">
        <f>HYPERLINK("https://klasma.github.io/Logging_0140/klagomål/A 11393-2022 FSC-klagomål.docx", "A 11393-2022")</f>
        <v/>
      </c>
      <c r="Z9">
        <f>HYPERLINK("https://klasma.github.io/Logging_0140/klagomålsmail/A 11393-2022 FSC-klagomål mail.docx", "A 11393-2022")</f>
        <v/>
      </c>
      <c r="AA9">
        <f>HYPERLINK("https://klasma.github.io/Logging_0140/tillsyn/A 11393-2022 tillsynsbegäran.docx", "A 11393-2022")</f>
        <v/>
      </c>
      <c r="AB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46217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s="2" t="inlineStr">
        <is>
          <t>Igelkott</t>
        </is>
      </c>
      <c r="V10">
        <f>HYPERLINK("https://klasma.github.io/Logging_0140/artfynd/A 11388-2024 artfynd.xlsx", "A 11388-2024")</f>
        <v/>
      </c>
      <c r="W10">
        <f>HYPERLINK("https://klasma.github.io/Logging_0140/kartor/A 11388-2024 karta.png", "A 11388-2024")</f>
        <v/>
      </c>
      <c r="Y10">
        <f>HYPERLINK("https://klasma.github.io/Logging_0140/klagomål/A 11388-2024 FSC-klagomål.docx", "A 11388-2024")</f>
        <v/>
      </c>
      <c r="Z10">
        <f>HYPERLINK("https://klasma.github.io/Logging_0140/klagomålsmail/A 11388-2024 FSC-klagomål mail.docx", "A 11388-2024")</f>
        <v/>
      </c>
      <c r="AA10">
        <f>HYPERLINK("https://klasma.github.io/Logging_0140/tillsyn/A 11388-2024 tillsynsbegäran.docx", "A 11388-2024")</f>
        <v/>
      </c>
      <c r="AB10">
        <f>HYPERLINK("https://klasma.github.io/Logging_0140/tillsynsmail/A 11388-2024 tillsynsbegäran mail.docx", "A 11388-2024")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46217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HYPERLINK("https://klasma.github.io/Logging_0140/artfynd/A 25754-2023 artfynd.xlsx", "A 25754-2023")</f>
        <v/>
      </c>
      <c r="W11">
        <f>HYPERLINK("https://klasma.github.io/Logging_0140/kartor/A 25754-2023 karta.png", "A 25754-2023")</f>
        <v/>
      </c>
      <c r="Y11">
        <f>HYPERLINK("https://klasma.github.io/Logging_0140/klagomål/A 25754-2023 FSC-klagomål.docx", "A 25754-2023")</f>
        <v/>
      </c>
      <c r="Z11">
        <f>HYPERLINK("https://klasma.github.io/Logging_0140/klagomålsmail/A 25754-2023 FSC-klagomål mail.docx", "A 25754-2023")</f>
        <v/>
      </c>
      <c r="AA11">
        <f>HYPERLINK("https://klasma.github.io/Logging_0140/tillsyn/A 25754-2023 tillsynsbegäran.docx", "A 25754-2023")</f>
        <v/>
      </c>
      <c r="AB11">
        <f>HYPERLINK("https://klasma.github.io/Logging_0140/tillsynsmail/A 25754-2023 tillsynsbegäran mail.docx", "A 25754-2023")</f>
        <v/>
      </c>
      <c r="AC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46217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Kösa</t>
        </is>
      </c>
      <c r="V12">
        <f>HYPERLINK("https://klasma.github.io/Logging_0140/artfynd/A 59342-2025 artfynd.xlsx", "A 59342-2025")</f>
        <v/>
      </c>
      <c r="W12">
        <f>HYPERLINK("https://klasma.github.io/Logging_0140/kartor/A 59342-2025 karta.png", "A 59342-2025")</f>
        <v/>
      </c>
      <c r="Y12">
        <f>HYPERLINK("https://klasma.github.io/Logging_0140/klagomål/A 59342-2025 FSC-klagomål.docx", "A 59342-2025")</f>
        <v/>
      </c>
      <c r="Z12">
        <f>HYPERLINK("https://klasma.github.io/Logging_0140/klagomålsmail/A 59342-2025 FSC-klagomål mail.docx", "A 59342-2025")</f>
        <v/>
      </c>
      <c r="AA12">
        <f>HYPERLINK("https://klasma.github.io/Logging_0140/tillsyn/A 59342-2025 tillsynsbegäran.docx", "A 59342-2025")</f>
        <v/>
      </c>
      <c r="AB12">
        <f>HYPERLINK("https://klasma.github.io/Logging_0140/tillsynsmail/A 59342-2025 tillsynsbegäran mail.docx", "A 59342-2025")</f>
        <v/>
      </c>
    </row>
    <row r="13" ht="15" customHeight="1">
      <c r="A13" t="inlineStr">
        <is>
          <t>A 6876-2022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46217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HYPERLINK("https://klasma.github.io/Logging_0140/artfynd/A 6876-2022 artfynd.xlsx", "A 6876-2022")</f>
        <v/>
      </c>
      <c r="W13">
        <f>HYPERLINK("https://klasma.github.io/Logging_0140/kartor/A 6876-2022 karta.png", "A 6876-2022")</f>
        <v/>
      </c>
      <c r="Y13">
        <f>HYPERLINK("https://klasma.github.io/Logging_0140/klagomål/A 6876-2022 FSC-klagomål.docx", "A 6876-2022")</f>
        <v/>
      </c>
      <c r="Z13">
        <f>HYPERLINK("https://klasma.github.io/Logging_0140/klagomålsmail/A 6876-2022 FSC-klagomål mail.docx", "A 6876-2022")</f>
        <v/>
      </c>
      <c r="AA13">
        <f>HYPERLINK("https://klasma.github.io/Logging_0140/tillsyn/A 6876-2022 tillsynsbegäran.docx", "A 6876-2022")</f>
        <v/>
      </c>
      <c r="AB13">
        <f>HYPERLINK("https://klasma.github.io/Logging_0140/tillsynsmail/A 6876-2022 tillsynsbegäran mail.docx", "A 6876-2022")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46217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Skogsödla</t>
        </is>
      </c>
      <c r="V14">
        <f>HYPERLINK("https://klasma.github.io/Logging_0140/artfynd/A 15912-2026 artfynd.xlsx", "A 15912-2026")</f>
        <v/>
      </c>
      <c r="W14">
        <f>HYPERLINK("https://klasma.github.io/Logging_0140/kartor/A 15912-2026 karta.png", "A 15912-2026")</f>
        <v/>
      </c>
      <c r="Y14">
        <f>HYPERLINK("https://klasma.github.io/Logging_0140/klagomål/A 15912-2026 FSC-klagomål.docx", "A 15912-2026")</f>
        <v/>
      </c>
      <c r="Z14">
        <f>HYPERLINK("https://klasma.github.io/Logging_0140/klagomålsmail/A 15912-2026 FSC-klagomål mail.docx", "A 15912-2026")</f>
        <v/>
      </c>
      <c r="AA14">
        <f>HYPERLINK("https://klasma.github.io/Logging_0140/tillsyn/A 15912-2026 tillsynsbegäran.docx", "A 15912-2026")</f>
        <v/>
      </c>
      <c r="AB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46217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8.699999999999999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Mattlummer</t>
        </is>
      </c>
      <c r="V15">
        <f>HYPERLINK("https://klasma.github.io/Logging_0140/artfynd/A 17009-2026 artfynd.xlsx", "A 17009-2026")</f>
        <v/>
      </c>
      <c r="W15">
        <f>HYPERLINK("https://klasma.github.io/Logging_0140/kartor/A 17009-2026 karta.png", "A 17009-2026")</f>
        <v/>
      </c>
      <c r="Y15">
        <f>HYPERLINK("https://klasma.github.io/Logging_0140/klagomål/A 17009-2026 FSC-klagomål.docx", "A 17009-2026")</f>
        <v/>
      </c>
      <c r="Z15">
        <f>HYPERLINK("https://klasma.github.io/Logging_0140/klagomålsmail/A 17009-2026 FSC-klagomål mail.docx", "A 17009-2026")</f>
        <v/>
      </c>
      <c r="AA15">
        <f>HYPERLINK("https://klasma.github.io/Logging_0140/tillsyn/A 17009-2026 tillsynsbegäran.docx", "A 17009-2026")</f>
        <v/>
      </c>
      <c r="AB15">
        <f>HYPERLINK("https://klasma.github.io/Logging_0140/tillsynsmail/A 17009-2026 tillsynsbegäran mail.docx", "A 17009-2026")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46217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Kopparödla</t>
        </is>
      </c>
      <c r="V16">
        <f>HYPERLINK("https://klasma.github.io/Logging_0140/artfynd/A 24790-2026 artfynd.xlsx", "A 24790-2026")</f>
        <v/>
      </c>
      <c r="W16">
        <f>HYPERLINK("https://klasma.github.io/Logging_0140/kartor/A 24790-2026 karta.png", "A 24790-2026")</f>
        <v/>
      </c>
      <c r="Y16">
        <f>HYPERLINK("https://klasma.github.io/Logging_0140/klagomål/A 24790-2026 FSC-klagomål.docx", "A 24790-2026")</f>
        <v/>
      </c>
      <c r="Z16">
        <f>HYPERLINK("https://klasma.github.io/Logging_0140/klagomålsmail/A 24790-2026 FSC-klagomål mail.docx", "A 24790-2026")</f>
        <v/>
      </c>
      <c r="AA16">
        <f>HYPERLINK("https://klasma.github.io/Logging_0140/tillsyn/A 24790-2026 tillsynsbegäran.docx", "A 24790-2026")</f>
        <v/>
      </c>
      <c r="AB16">
        <f>HYPERLINK("https://klasma.github.io/Logging_0140/tillsynsmail/A 24790-2026 tillsynsbegäran mail.docx", "A 24790-2026")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46217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HYPERLINK("https://klasma.github.io/Logging_0140/artfynd/A 8285-2022 artfynd.xlsx", "A 8285-2022")</f>
        <v/>
      </c>
      <c r="W17">
        <f>HYPERLINK("https://klasma.github.io/Logging_0140/kartor/A 8285-2022 karta.png", "A 8285-2022")</f>
        <v/>
      </c>
      <c r="Y17">
        <f>HYPERLINK("https://klasma.github.io/Logging_0140/klagomål/A 8285-2022 FSC-klagomål.docx", "A 8285-2022")</f>
        <v/>
      </c>
      <c r="Z17">
        <f>HYPERLINK("https://klasma.github.io/Logging_0140/klagomålsmail/A 8285-2022 FSC-klagomål mail.docx", "A 8285-2022")</f>
        <v/>
      </c>
      <c r="AA17">
        <f>HYPERLINK("https://klasma.github.io/Logging_0140/tillsyn/A 8285-2022 tillsynsbegäran.docx", "A 8285-2022")</f>
        <v/>
      </c>
      <c r="AB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46217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Röd glada</t>
        </is>
      </c>
      <c r="V18">
        <f>HYPERLINK("https://klasma.github.io/Logging_0140/artfynd/A 37597-2024 artfynd.xlsx", "A 37597-2024")</f>
        <v/>
      </c>
      <c r="W18">
        <f>HYPERLINK("https://klasma.github.io/Logging_0140/kartor/A 37597-2024 karta.png", "A 37597-2024")</f>
        <v/>
      </c>
      <c r="Y18">
        <f>HYPERLINK("https://klasma.github.io/Logging_0140/klagomål/A 37597-2024 FSC-klagomål.docx", "A 37597-2024")</f>
        <v/>
      </c>
      <c r="Z18">
        <f>HYPERLINK("https://klasma.github.io/Logging_0140/klagomålsmail/A 37597-2024 FSC-klagomål mail.docx", "A 37597-2024")</f>
        <v/>
      </c>
      <c r="AA18">
        <f>HYPERLINK("https://klasma.github.io/Logging_0140/tillsyn/A 37597-2024 tillsynsbegäran.docx", "A 37597-2024")</f>
        <v/>
      </c>
      <c r="AB18">
        <f>HYPERLINK("https://klasma.github.io/Logging_0140/tillsynsmail/A 37597-2024 tillsynsbegäran mail.docx", "A 37597-2024")</f>
        <v/>
      </c>
      <c r="AC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46217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Y19">
        <f>HYPERLINK("https://klasma.github.io/Logging_0140/klagomål/A 23279-2025 FSC-klagomål.docx", "A 23279-2025")</f>
        <v/>
      </c>
      <c r="Z19">
        <f>HYPERLINK("https://klasma.github.io/Logging_0140/klagomålsmail/A 23279-2025 FSC-klagomål mail.docx", "A 23279-2025")</f>
        <v/>
      </c>
      <c r="AA19">
        <f>HYPERLINK("https://klasma.github.io/Logging_0140/tillsyn/A 23279-2025 tillsynsbegäran.docx", "A 23279-2025")</f>
        <v/>
      </c>
      <c r="AB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46217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46217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46217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46217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46217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46217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46217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46217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46217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46217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46217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46217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46217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46217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46217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46217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46217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46217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8096-2023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46217</v>
      </c>
      <c r="F38" t="inlineStr">
        <is>
          <t>STOCKHOLMS LÄN</t>
        </is>
      </c>
      <c r="G38" t="inlineStr">
        <is>
          <t>NYKVARN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50031-2023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46217</v>
      </c>
      <c r="F39" t="inlineStr">
        <is>
          <t>STOCKHOLMS LÄN</t>
        </is>
      </c>
      <c r="G39" t="inlineStr">
        <is>
          <t>NYKVARN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19487-2023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45050</v>
      </c>
      <c r="E40" s="1" t="n">
        <v>46217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46217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46217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46217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46217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46217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53337-2023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46217</v>
      </c>
      <c r="F46" t="inlineStr">
        <is>
          <t>STOCKHOLMS LÄN</t>
        </is>
      </c>
      <c r="G46" t="inlineStr">
        <is>
          <t>NYKVARN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46217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46217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38535-2025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45884</v>
      </c>
      <c r="E49" s="1" t="n">
        <v>46217</v>
      </c>
      <c r="F49" t="inlineStr">
        <is>
          <t>STOCKHOLMS LÄN</t>
        </is>
      </c>
      <c r="G49" t="inlineStr">
        <is>
          <t>NYKVARN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46217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46217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36986-2025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45874</v>
      </c>
      <c r="E52" s="1" t="n">
        <v>46217</v>
      </c>
      <c r="F52" t="inlineStr">
        <is>
          <t>STOCKHOLMS LÄN</t>
        </is>
      </c>
      <c r="G52" t="inlineStr">
        <is>
          <t>NYKVARN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46217</v>
      </c>
      <c r="F53" t="inlineStr">
        <is>
          <t>STOCKHOLMS LÄN</t>
        </is>
      </c>
      <c r="G53" t="inlineStr">
        <is>
          <t>NYKVARN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46217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46217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59348-2025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46217</v>
      </c>
      <c r="F56" t="inlineStr">
        <is>
          <t>STOCKHOLMS LÄN</t>
        </is>
      </c>
      <c r="G56" t="inlineStr">
        <is>
          <t>NYKVARN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46217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46217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46217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46217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46217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45173</v>
      </c>
      <c r="E62" s="1" t="n">
        <v>46217</v>
      </c>
      <c r="F62" t="inlineStr">
        <is>
          <t>STOCKHOLMS LÄN</t>
        </is>
      </c>
      <c r="G62" t="inlineStr">
        <is>
          <t>NYKVARN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19903-2023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46217</v>
      </c>
      <c r="F63" t="inlineStr">
        <is>
          <t>STOCKHOLMS LÄN</t>
        </is>
      </c>
      <c r="G63" t="inlineStr">
        <is>
          <t>NYKVARN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56639-2023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46217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50020-2023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46217</v>
      </c>
      <c r="F65" t="inlineStr">
        <is>
          <t>STOCKHOLMS LÄN</t>
        </is>
      </c>
      <c r="G65" t="inlineStr">
        <is>
          <t>NYKVARN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19217-2026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46217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46217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46217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46217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46217</v>
      </c>
      <c r="F70" t="inlineStr">
        <is>
          <t>STOCKHOLMS LÄN</t>
        </is>
      </c>
      <c r="G70" t="inlineStr">
        <is>
          <t>NYKVARN</t>
        </is>
      </c>
      <c r="H70" t="inlineStr">
        <is>
          <t>Kommuner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52878-2022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46217</v>
      </c>
      <c r="F71" t="inlineStr">
        <is>
          <t>STOCKHOLMS LÄN</t>
        </is>
      </c>
      <c r="G71" t="inlineStr">
        <is>
          <t>NYKVARN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24283-2022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46217</v>
      </c>
      <c r="F72" t="inlineStr">
        <is>
          <t>STOCKHOLMS LÄN</t>
        </is>
      </c>
      <c r="G72" t="inlineStr">
        <is>
          <t>NYKVARN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2172-2024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46217</v>
      </c>
      <c r="F73" t="inlineStr">
        <is>
          <t>STOCKHOLMS LÄN</t>
        </is>
      </c>
      <c r="G73" t="inlineStr">
        <is>
          <t>NYKVARN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46217</v>
      </c>
      <c r="F74" t="inlineStr">
        <is>
          <t>STOCKHOLMS LÄN</t>
        </is>
      </c>
      <c r="G74" t="inlineStr">
        <is>
          <t>NYKVARN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46217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46217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46217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46217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23655-2025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46217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46217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46217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46217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2026-07-14T08:59:27Z</dcterms:created>
  <dcterms:modified xmlns:dcterms="http://purl.org/dc/terms/" xmlns:xsi="http://www.w3.org/2001/XMLSchema-instance" xsi:type="dcterms:W3CDTF">2026-07-14T08:59:28Z</dcterms:modified>
</cp:coreProperties>
</file>