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46001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46001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46001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46001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9714-2022</t>
        </is>
      </c>
      <c r="B6" s="1" t="n">
        <v>44617</v>
      </c>
      <c r="C6" s="1" t="n">
        <v>46001</v>
      </c>
      <c r="D6" t="inlineStr">
        <is>
          <t>STOCKHOLMS LÄN</t>
        </is>
      </c>
      <c r="E6" t="inlineStr">
        <is>
          <t>NYKVARN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HYPERLINK("https://klasma.github.io/Logging_0140/artfynd/A 9714-2022 artfynd.xlsx", "A 9714-2022")</f>
        <v/>
      </c>
      <c r="T6">
        <f>HYPERLINK("https://klasma.github.io/Logging_0140/kartor/A 9714-2022 karta.png", "A 9714-2022")</f>
        <v/>
      </c>
      <c r="V6">
        <f>HYPERLINK("https://klasma.github.io/Logging_0140/klagomål/A 9714-2022 FSC-klagomål.docx", "A 9714-2022")</f>
        <v/>
      </c>
      <c r="W6">
        <f>HYPERLINK("https://klasma.github.io/Logging_0140/klagomålsmail/A 9714-2022 FSC-klagomål mail.docx", "A 9714-2022")</f>
        <v/>
      </c>
      <c r="X6">
        <f>HYPERLINK("https://klasma.github.io/Logging_0140/tillsyn/A 9714-2022 tillsynsbegäran.docx", "A 9714-2022")</f>
        <v/>
      </c>
      <c r="Y6">
        <f>HYPERLINK("https://klasma.github.io/Logging_0140/tillsynsmail/A 9714-2022 tillsynsbegäran mail.docx", "A 9714-2022")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46001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46001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46001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37967-2021</t>
        </is>
      </c>
      <c r="B10" s="1" t="n">
        <v>44403</v>
      </c>
      <c r="C10" s="1" t="n">
        <v>46001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12578-2022</t>
        </is>
      </c>
      <c r="B11" s="1" t="n">
        <v>44638</v>
      </c>
      <c r="C11" s="1" t="n">
        <v>46001</v>
      </c>
      <c r="D11" t="inlineStr">
        <is>
          <t>STOCKHOLMS LÄN</t>
        </is>
      </c>
      <c r="E11" t="inlineStr">
        <is>
          <t>NYKVARN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46001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46001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46001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46001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46001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46001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46001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46001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46001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46001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46001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46001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46001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46001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46001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46001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46001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46001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23655-2025</t>
        </is>
      </c>
      <c r="B30" s="1" t="n">
        <v>45792</v>
      </c>
      <c r="C30" s="1" t="n">
        <v>46001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23284-2025</t>
        </is>
      </c>
      <c r="B31" s="1" t="n">
        <v>45791.57525462963</v>
      </c>
      <c r="C31" s="1" t="n">
        <v>46001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46001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46001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40168-2023</t>
        </is>
      </c>
      <c r="B34" s="1" t="n">
        <v>45169.38591435185</v>
      </c>
      <c r="C34" s="1" t="n">
        <v>46001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39539-2023</t>
        </is>
      </c>
      <c r="B35" s="1" t="n">
        <v>45167</v>
      </c>
      <c r="C35" s="1" t="n">
        <v>46001</v>
      </c>
      <c r="D35" t="inlineStr">
        <is>
          <t>STOCKHOLMS LÄN</t>
        </is>
      </c>
      <c r="E35" t="inlineStr">
        <is>
          <t>NYKVARN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46001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71540-2021</t>
        </is>
      </c>
      <c r="B37" s="1" t="n">
        <v>44540</v>
      </c>
      <c r="C37" s="1" t="n">
        <v>46001</v>
      </c>
      <c r="D37" t="inlineStr">
        <is>
          <t>STOCKHOLMS LÄN</t>
        </is>
      </c>
      <c r="E37" t="inlineStr">
        <is>
          <t>NYKVARN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46001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26763-2025</t>
        </is>
      </c>
      <c r="B39" s="1" t="n">
        <v>45810.56418981482</v>
      </c>
      <c r="C39" s="1" t="n">
        <v>46001</v>
      </c>
      <c r="D39" t="inlineStr">
        <is>
          <t>STOCKHOLMS LÄN</t>
        </is>
      </c>
      <c r="E39" t="inlineStr">
        <is>
          <t>NYKVARN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11393-2022</t>
        </is>
      </c>
      <c r="B40" s="1" t="n">
        <v>44630</v>
      </c>
      <c r="C40" s="1" t="n">
        <v>46001</v>
      </c>
      <c r="D40" t="inlineStr">
        <is>
          <t>STOCKHOLMS LÄN</t>
        </is>
      </c>
      <c r="E40" t="inlineStr">
        <is>
          <t>NYKVARN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44910.59086805556</v>
      </c>
      <c r="C41" s="1" t="n">
        <v>46001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28607-2025</t>
        </is>
      </c>
      <c r="B42" s="1" t="n">
        <v>45819.60226851852</v>
      </c>
      <c r="C42" s="1" t="n">
        <v>46001</v>
      </c>
      <c r="D42" t="inlineStr">
        <is>
          <t>STOCKHOLMS LÄN</t>
        </is>
      </c>
      <c r="E42" t="inlineStr">
        <is>
          <t>NYKVARN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28598-2025</t>
        </is>
      </c>
      <c r="B43" s="1" t="n">
        <v>45819.59659722223</v>
      </c>
      <c r="C43" s="1" t="n">
        <v>46001</v>
      </c>
      <c r="D43" t="inlineStr">
        <is>
          <t>STOCKHOLMS LÄN</t>
        </is>
      </c>
      <c r="E43" t="inlineStr">
        <is>
          <t>NYKVARN</t>
        </is>
      </c>
      <c r="G43" t="n">
        <v>10.4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68268-2020</t>
        </is>
      </c>
      <c r="B44" s="1" t="n">
        <v>44183</v>
      </c>
      <c r="C44" s="1" t="n">
        <v>46001</v>
      </c>
      <c r="D44" t="inlineStr">
        <is>
          <t>STOCKHOLMS LÄN</t>
        </is>
      </c>
      <c r="E44" t="inlineStr">
        <is>
          <t>NYKVARN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46001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46001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46001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46001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46001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46001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46001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59342-2025</t>
        </is>
      </c>
      <c r="B52" s="1" t="n">
        <v>45989.38784722222</v>
      </c>
      <c r="C52" s="1" t="n">
        <v>46001</v>
      </c>
      <c r="D52" t="inlineStr">
        <is>
          <t>STOCKHOLMS LÄN</t>
        </is>
      </c>
      <c r="E52" t="inlineStr">
        <is>
          <t>NYKVARN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59348-2025</t>
        </is>
      </c>
      <c r="B53" s="1" t="n">
        <v>45989.40099537037</v>
      </c>
      <c r="C53" s="1" t="n">
        <v>46001</v>
      </c>
      <c r="D53" t="inlineStr">
        <is>
          <t>STOCKHOLMS LÄN</t>
        </is>
      </c>
      <c r="E53" t="inlineStr">
        <is>
          <t>NYKVARN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51787-2021</t>
        </is>
      </c>
      <c r="B54" s="1" t="n">
        <v>44462</v>
      </c>
      <c r="C54" s="1" t="n">
        <v>46001</v>
      </c>
      <c r="D54" t="inlineStr">
        <is>
          <t>STOCKHOLMS LÄN</t>
        </is>
      </c>
      <c r="E54" t="inlineStr">
        <is>
          <t>NYKVARN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25754-2023</t>
        </is>
      </c>
      <c r="B55" s="1" t="n">
        <v>45084</v>
      </c>
      <c r="C55" s="1" t="n">
        <v>46001</v>
      </c>
      <c r="D55" t="inlineStr">
        <is>
          <t>STOCKHOLMS LÄN</t>
        </is>
      </c>
      <c r="E55" t="inlineStr">
        <is>
          <t>NYKVARN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44438.69939814815</v>
      </c>
      <c r="C56" s="1" t="n">
        <v>46001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46001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63586-2023</t>
        </is>
      </c>
      <c r="B58" s="1" t="n">
        <v>45275</v>
      </c>
      <c r="C58" s="1" t="n">
        <v>46001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32555-2023</t>
        </is>
      </c>
      <c r="B59" s="1" t="n">
        <v>45121.43032407408</v>
      </c>
      <c r="C59" s="1" t="n">
        <v>46001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63592-2023</t>
        </is>
      </c>
      <c r="B60" s="1" t="n">
        <v>45275</v>
      </c>
      <c r="C60" s="1" t="n">
        <v>46001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6876-2022</t>
        </is>
      </c>
      <c r="B61" s="1" t="n">
        <v>44602</v>
      </c>
      <c r="C61" s="1" t="n">
        <v>46001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17328-2025</t>
        </is>
      </c>
      <c r="B62" s="1" t="n">
        <v>45756.64081018518</v>
      </c>
      <c r="C62" s="1" t="n">
        <v>46001</v>
      </c>
      <c r="D62" t="inlineStr">
        <is>
          <t>STOCKHOLMS LÄN</t>
        </is>
      </c>
      <c r="E62" t="inlineStr">
        <is>
          <t>NYKVARN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63400-2023</t>
        </is>
      </c>
      <c r="B63" s="1" t="n">
        <v>45274</v>
      </c>
      <c r="C63" s="1" t="n">
        <v>46001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41681-2023</t>
        </is>
      </c>
      <c r="B64" s="1" t="n">
        <v>45173</v>
      </c>
      <c r="C64" s="1" t="n">
        <v>46001</v>
      </c>
      <c r="D64" t="inlineStr">
        <is>
          <t>STOCKHOLMS LÄN</t>
        </is>
      </c>
      <c r="E64" t="inlineStr">
        <is>
          <t>NYKVARN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19903-2023</t>
        </is>
      </c>
      <c r="B65" s="1" t="n">
        <v>45054</v>
      </c>
      <c r="C65" s="1" t="n">
        <v>46001</v>
      </c>
      <c r="D65" t="inlineStr">
        <is>
          <t>STOCKHOLMS LÄN</t>
        </is>
      </c>
      <c r="E65" t="inlineStr">
        <is>
          <t>NYKVARN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56639-2023</t>
        </is>
      </c>
      <c r="B66" s="1" t="n">
        <v>45243.72300925926</v>
      </c>
      <c r="C66" s="1" t="n">
        <v>46001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50020-2023</t>
        </is>
      </c>
      <c r="B67" s="1" t="n">
        <v>45215.46996527778</v>
      </c>
      <c r="C67" s="1" t="n">
        <v>46001</v>
      </c>
      <c r="D67" t="inlineStr">
        <is>
          <t>STOCKHOLMS LÄN</t>
        </is>
      </c>
      <c r="E67" t="inlineStr">
        <is>
          <t>NYKVARN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25278-2022</t>
        </is>
      </c>
      <c r="B68" s="1" t="n">
        <v>44730</v>
      </c>
      <c r="C68" s="1" t="n">
        <v>46001</v>
      </c>
      <c r="D68" t="inlineStr">
        <is>
          <t>STOCKHOLMS LÄN</t>
        </is>
      </c>
      <c r="E68" t="inlineStr">
        <is>
          <t>NYKVARN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6854-2022</t>
        </is>
      </c>
      <c r="B69" s="1" t="n">
        <v>44602</v>
      </c>
      <c r="C69" s="1" t="n">
        <v>46001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52878-2022</t>
        </is>
      </c>
      <c r="B70" s="1" t="n">
        <v>44872</v>
      </c>
      <c r="C70" s="1" t="n">
        <v>46001</v>
      </c>
      <c r="D70" t="inlineStr">
        <is>
          <t>STOCKHOLMS LÄN</t>
        </is>
      </c>
      <c r="E70" t="inlineStr">
        <is>
          <t>NYKVARN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44725.79453703704</v>
      </c>
      <c r="C71" s="1" t="n">
        <v>46001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11348-2022</t>
        </is>
      </c>
      <c r="B72" s="1" t="n">
        <v>44630.39990740741</v>
      </c>
      <c r="C72" s="1" t="n">
        <v>46001</v>
      </c>
      <c r="D72" t="inlineStr">
        <is>
          <t>STOCKHOLMS LÄN</t>
        </is>
      </c>
      <c r="E72" t="inlineStr">
        <is>
          <t>NYKVARN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2172-2024</t>
        </is>
      </c>
      <c r="B73" s="1" t="n">
        <v>45309.63112268518</v>
      </c>
      <c r="C73" s="1" t="n">
        <v>46001</v>
      </c>
      <c r="D73" t="inlineStr">
        <is>
          <t>STOCKHOLMS LÄN</t>
        </is>
      </c>
      <c r="E73" t="inlineStr">
        <is>
          <t>NYKVARN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7926-2023</t>
        </is>
      </c>
      <c r="B74" s="1" t="n">
        <v>44973.6502662037</v>
      </c>
      <c r="C74" s="1" t="n">
        <v>46001</v>
      </c>
      <c r="D74" t="inlineStr">
        <is>
          <t>STOCKHOLMS LÄN</t>
        </is>
      </c>
      <c r="E74" t="inlineStr">
        <is>
          <t>NYKVARN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20711-2021</t>
        </is>
      </c>
      <c r="B75" s="1" t="n">
        <v>44316</v>
      </c>
      <c r="C75" s="1" t="n">
        <v>46001</v>
      </c>
      <c r="D75" t="inlineStr">
        <is>
          <t>STOCKHOLMS LÄN</t>
        </is>
      </c>
      <c r="E75" t="inlineStr">
        <is>
          <t>NYKVARN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23152-2021</t>
        </is>
      </c>
      <c r="B76" s="1" t="n">
        <v>44332</v>
      </c>
      <c r="C76" s="1" t="n">
        <v>46001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44969-2022</t>
        </is>
      </c>
      <c r="B77" s="1" t="n">
        <v>44841.58752314815</v>
      </c>
      <c r="C77" s="1" t="n">
        <v>46001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11430-2022</t>
        </is>
      </c>
      <c r="B78" s="1" t="n">
        <v>44630.5968287037</v>
      </c>
      <c r="C78" s="1" t="n">
        <v>46001</v>
      </c>
      <c r="D78" t="inlineStr">
        <is>
          <t>STOCKHOLMS LÄN</t>
        </is>
      </c>
      <c r="E78" t="inlineStr">
        <is>
          <t>NYKVARN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46001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2177-2024</t>
        </is>
      </c>
      <c r="B80" s="1" t="n">
        <v>45309.64600694444</v>
      </c>
      <c r="C80" s="1" t="n">
        <v>46001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2025-12-10T10:26:43Z</dcterms:created>
  <dcterms:modified xmlns:dcterms="http://purl.org/dc/terms/" xmlns:xsi="http://www.w3.org/2001/XMLSchema-instance" xsi:type="dcterms:W3CDTF">2025-12-10T10:26:43Z</dcterms:modified>
</cp:coreProperties>
</file>