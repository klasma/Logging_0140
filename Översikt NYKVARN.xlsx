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46216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46216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46216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46216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46216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Igelkott</t>
        </is>
      </c>
      <c r="V7">
        <f>HYPERLINK("https://klasma.github.io/Logging_0140/artfynd/A 11388-2024 artfynd.xlsx", "A 11388-2024")</f>
        <v/>
      </c>
      <c r="W7">
        <f>HYPERLINK("https://klasma.github.io/Logging_0140/kartor/A 11388-2024 karta.png", "A 11388-2024")</f>
        <v/>
      </c>
      <c r="Y7">
        <f>HYPERLINK("https://klasma.github.io/Logging_0140/klagomål/A 11388-2024 FSC-klagomål.docx", "A 11388-2024")</f>
        <v/>
      </c>
      <c r="Z7">
        <f>HYPERLINK("https://klasma.github.io/Logging_0140/klagomålsmail/A 11388-2024 FSC-klagomål mail.docx", "A 11388-2024")</f>
        <v/>
      </c>
      <c r="AA7">
        <f>HYPERLINK("https://klasma.github.io/Logging_0140/tillsyn/A 11388-2024 tillsynsbegäran.docx", "A 11388-2024")</f>
        <v/>
      </c>
      <c r="AB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46216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18848-2024 artfynd.xlsx", "A 18848-2024")</f>
        <v/>
      </c>
      <c r="W8">
        <f>HYPERLINK("https://klasma.github.io/Logging_0140/kartor/A 18848-2024 karta.png", "A 18848-2024")</f>
        <v/>
      </c>
      <c r="Y8">
        <f>HYPERLINK("https://klasma.github.io/Logging_0140/klagomål/A 18848-2024 FSC-klagomål.docx", "A 18848-2024")</f>
        <v/>
      </c>
      <c r="Z8">
        <f>HYPERLINK("https://klasma.github.io/Logging_0140/klagomålsmail/A 18848-2024 FSC-klagomål mail.docx", "A 18848-2024")</f>
        <v/>
      </c>
      <c r="AA8">
        <f>HYPERLINK("https://klasma.github.io/Logging_0140/tillsyn/A 18848-2024 tillsynsbegäran.docx", "A 18848-2024")</f>
        <v/>
      </c>
      <c r="AB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46216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Trana</t>
        </is>
      </c>
      <c r="V9">
        <f>HYPERLINK("https://klasma.github.io/Logging_0140/artfynd/A 25754-2023 artfynd.xlsx", "A 25754-2023")</f>
        <v/>
      </c>
      <c r="W9">
        <f>HYPERLINK("https://klasma.github.io/Logging_0140/kartor/A 25754-2023 karta.png", "A 25754-2023")</f>
        <v/>
      </c>
      <c r="Y9">
        <f>HYPERLINK("https://klasma.github.io/Logging_0140/klagomål/A 25754-2023 FSC-klagomål.docx", "A 25754-2023")</f>
        <v/>
      </c>
      <c r="Z9">
        <f>HYPERLINK("https://klasma.github.io/Logging_0140/klagomålsmail/A 25754-2023 FSC-klagomål mail.docx", "A 25754-2023")</f>
        <v/>
      </c>
      <c r="AA9">
        <f>HYPERLINK("https://klasma.github.io/Logging_0140/tillsyn/A 25754-2023 tillsynsbegäran.docx", "A 25754-2023")</f>
        <v/>
      </c>
      <c r="AB9">
        <f>HYPERLINK("https://klasma.github.io/Logging_0140/tillsynsmail/A 25754-2023 tillsynsbegäran mail.docx", "A 25754-2023")</f>
        <v/>
      </c>
      <c r="AC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46216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HYPERLINK("https://klasma.github.io/Logging_0140/artfynd/A 59342-2025 artfynd.xlsx", "A 59342-2025")</f>
        <v/>
      </c>
      <c r="W10">
        <f>HYPERLINK("https://klasma.github.io/Logging_0140/kartor/A 59342-2025 karta.png", "A 59342-2025")</f>
        <v/>
      </c>
      <c r="Y10">
        <f>HYPERLINK("https://klasma.github.io/Logging_0140/klagomål/A 59342-2025 FSC-klagomål.docx", "A 59342-2025")</f>
        <v/>
      </c>
      <c r="Z10">
        <f>HYPERLINK("https://klasma.github.io/Logging_0140/klagomålsmail/A 59342-2025 FSC-klagomål mail.docx", "A 59342-2025")</f>
        <v/>
      </c>
      <c r="AA10">
        <f>HYPERLINK("https://klasma.github.io/Logging_0140/tillsyn/A 59342-2025 tillsynsbegäran.docx", "A 59342-2025")</f>
        <v/>
      </c>
      <c r="AB10">
        <f>HYPERLINK("https://klasma.github.io/Logging_0140/tillsynsmail/A 59342-2025 tillsynsbegäran mail.docx", "A 59342-2025")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46216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Skogsödla</t>
        </is>
      </c>
      <c r="V11">
        <f>HYPERLINK("https://klasma.github.io/Logging_0140/artfynd/A 15912-2026 artfynd.xlsx", "A 15912-2026")</f>
        <v/>
      </c>
      <c r="W11">
        <f>HYPERLINK("https://klasma.github.io/Logging_0140/kartor/A 15912-2026 karta.png", "A 15912-2026")</f>
        <v/>
      </c>
      <c r="Y11">
        <f>HYPERLINK("https://klasma.github.io/Logging_0140/klagomål/A 15912-2026 FSC-klagomål.docx", "A 15912-2026")</f>
        <v/>
      </c>
      <c r="Z11">
        <f>HYPERLINK("https://klasma.github.io/Logging_0140/klagomålsmail/A 15912-2026 FSC-klagomål mail.docx", "A 15912-2026")</f>
        <v/>
      </c>
      <c r="AA11">
        <f>HYPERLINK("https://klasma.github.io/Logging_0140/tillsyn/A 15912-2026 tillsynsbegäran.docx", "A 15912-2026")</f>
        <v/>
      </c>
      <c r="AB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46216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Mattlummer</t>
        </is>
      </c>
      <c r="V12">
        <f>HYPERLINK("https://klasma.github.io/Logging_0140/artfynd/A 17009-2026 artfynd.xlsx", "A 17009-2026")</f>
        <v/>
      </c>
      <c r="W12">
        <f>HYPERLINK("https://klasma.github.io/Logging_0140/kartor/A 17009-2026 karta.png", "A 17009-2026")</f>
        <v/>
      </c>
      <c r="Y12">
        <f>HYPERLINK("https://klasma.github.io/Logging_0140/klagomål/A 17009-2026 FSC-klagomål.docx", "A 17009-2026")</f>
        <v/>
      </c>
      <c r="Z12">
        <f>HYPERLINK("https://klasma.github.io/Logging_0140/klagomålsmail/A 17009-2026 FSC-klagomål mail.docx", "A 17009-2026")</f>
        <v/>
      </c>
      <c r="AA12">
        <f>HYPERLINK("https://klasma.github.io/Logging_0140/tillsyn/A 17009-2026 tillsynsbegäran.docx", "A 17009-2026")</f>
        <v/>
      </c>
      <c r="AB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46216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Röd glada</t>
        </is>
      </c>
      <c r="V13">
        <f>HYPERLINK("https://klasma.github.io/Logging_0140/artfynd/A 37597-2024 artfynd.xlsx", "A 37597-2024")</f>
        <v/>
      </c>
      <c r="W13">
        <f>HYPERLINK("https://klasma.github.io/Logging_0140/kartor/A 37597-2024 karta.png", "A 37597-2024")</f>
        <v/>
      </c>
      <c r="Y13">
        <f>HYPERLINK("https://klasma.github.io/Logging_0140/klagomål/A 37597-2024 FSC-klagomål.docx", "A 37597-2024")</f>
        <v/>
      </c>
      <c r="Z13">
        <f>HYPERLINK("https://klasma.github.io/Logging_0140/klagomålsmail/A 37597-2024 FSC-klagomål mail.docx", "A 37597-2024")</f>
        <v/>
      </c>
      <c r="AA13">
        <f>HYPERLINK("https://klasma.github.io/Logging_0140/tillsyn/A 37597-2024 tillsynsbegäran.docx", "A 37597-2024")</f>
        <v/>
      </c>
      <c r="AB13">
        <f>HYPERLINK("https://klasma.github.io/Logging_0140/tillsynsmail/A 37597-2024 tillsynsbegäran mail.docx", "A 37597-2024")</f>
        <v/>
      </c>
      <c r="AC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45167</v>
      </c>
      <c r="E14" s="1" t="n">
        <v>46216</v>
      </c>
      <c r="F14" t="inlineStr">
        <is>
          <t>STOCKHOLMS LÄN</t>
        </is>
      </c>
      <c r="G14" t="inlineStr">
        <is>
          <t>NYKVARN</t>
        </is>
      </c>
      <c r="I14" t="n">
        <v>2.3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Igelkott</t>
        </is>
      </c>
      <c r="V14">
        <f>HYPERLINK("https://klasma.github.io/Logging_0140/artfynd/A 39539-2023 artfynd.xlsx", "A 39539-2023")</f>
        <v/>
      </c>
      <c r="W14">
        <f>HYPERLINK("https://klasma.github.io/Logging_0140/kartor/A 39539-2023 karta.png", "A 39539-2023")</f>
        <v/>
      </c>
      <c r="Y14">
        <f>HYPERLINK("https://klasma.github.io/Logging_0140/klagomål/A 39539-2023 FSC-klagomål.docx", "A 39539-2023")</f>
        <v/>
      </c>
      <c r="Z14">
        <f>HYPERLINK("https://klasma.github.io/Logging_0140/klagomålsmail/A 39539-2023 FSC-klagomål mail.docx", "A 39539-2023")</f>
        <v/>
      </c>
      <c r="AA14">
        <f>HYPERLINK("https://klasma.github.io/Logging_0140/tillsyn/A 39539-2023 tillsynsbegäran.docx", "A 39539-2023")</f>
        <v/>
      </c>
      <c r="AB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46216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46216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Y16">
        <f>HYPERLINK("https://klasma.github.io/Logging_0140/klagomål/A 8285-2022 FSC-klagomål.docx", "A 8285-2022")</f>
        <v/>
      </c>
      <c r="Z16">
        <f>HYPERLINK("https://klasma.github.io/Logging_0140/klagomålsmail/A 8285-2022 FSC-klagomål mail.docx", "A 8285-2022")</f>
        <v/>
      </c>
      <c r="AA16">
        <f>HYPERLINK("https://klasma.github.io/Logging_0140/tillsyn/A 8285-2022 tillsynsbegäran.docx", "A 8285-2022")</f>
        <v/>
      </c>
      <c r="AB16">
        <f>HYPERLINK("https://klasma.github.io/Logging_0140/tillsynsmail/A 8285-2022 tillsynsbegäran mail.docx", "A 8285-2022")</f>
        <v/>
      </c>
    </row>
    <row r="17" ht="15" customHeight="1">
      <c r="A17" t="inlineStr">
        <is>
          <t>A 11393-2022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44630</v>
      </c>
      <c r="E17" s="1" t="n">
        <v>46216</v>
      </c>
      <c r="F17" t="inlineStr">
        <is>
          <t>STOCKHOLMS LÄN</t>
        </is>
      </c>
      <c r="G17" t="inlineStr">
        <is>
          <t>NYKVARN</t>
        </is>
      </c>
      <c r="I17" t="n">
        <v>3.8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Björksplintborre</t>
        </is>
      </c>
      <c r="V17">
        <f>HYPERLINK("https://klasma.github.io/Logging_0140/artfynd/A 11393-2022 artfynd.xlsx", "A 11393-2022")</f>
        <v/>
      </c>
      <c r="W17">
        <f>HYPERLINK("https://klasma.github.io/Logging_0140/kartor/A 11393-2022 karta.png", "A 11393-2022")</f>
        <v/>
      </c>
      <c r="Y17">
        <f>HYPERLINK("https://klasma.github.io/Logging_0140/klagomål/A 11393-2022 FSC-klagomål.docx", "A 11393-2022")</f>
        <v/>
      </c>
      <c r="Z17">
        <f>HYPERLINK("https://klasma.github.io/Logging_0140/klagomålsmail/A 11393-2022 FSC-klagomål mail.docx", "A 11393-2022")</f>
        <v/>
      </c>
      <c r="AA17">
        <f>HYPERLINK("https://klasma.github.io/Logging_0140/tillsyn/A 11393-2022 tillsynsbegäran.docx", "A 11393-2022")</f>
        <v/>
      </c>
      <c r="AB17">
        <f>HYPERLINK("https://klasma.github.io/Logging_0140/tillsynsmail/A 11393-2022 tillsynsbegäran mail.docx", "A 11393-2022")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46216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Kopparödla</t>
        </is>
      </c>
      <c r="V18">
        <f>HYPERLINK("https://klasma.github.io/Logging_0140/artfynd/A 24790-2026 artfynd.xlsx", "A 24790-2026")</f>
        <v/>
      </c>
      <c r="W18">
        <f>HYPERLINK("https://klasma.github.io/Logging_0140/kartor/A 24790-2026 karta.png", "A 24790-2026")</f>
        <v/>
      </c>
      <c r="Y18">
        <f>HYPERLINK("https://klasma.github.io/Logging_0140/klagomål/A 24790-2026 FSC-klagomål.docx", "A 24790-2026")</f>
        <v/>
      </c>
      <c r="Z18">
        <f>HYPERLINK("https://klasma.github.io/Logging_0140/klagomålsmail/A 24790-2026 FSC-klagomål mail.docx", "A 24790-2026")</f>
        <v/>
      </c>
      <c r="AA18">
        <f>HYPERLINK("https://klasma.github.io/Logging_0140/tillsyn/A 24790-2026 tillsynsbegäran.docx", "A 24790-2026")</f>
        <v/>
      </c>
      <c r="AB18">
        <f>HYPERLINK("https://klasma.github.io/Logging_0140/tillsynsmail/A 24790-2026 tillsynsbegäran mail.docx", "A 24790-2026")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46216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Y19">
        <f>HYPERLINK("https://klasma.github.io/Logging_0140/klagomål/A 23279-2025 FSC-klagomål.docx", "A 23279-2025")</f>
        <v/>
      </c>
      <c r="Z19">
        <f>HYPERLINK("https://klasma.github.io/Logging_0140/klagomålsmail/A 23279-2025 FSC-klagomål mail.docx", "A 23279-2025")</f>
        <v/>
      </c>
      <c r="AA19">
        <f>HYPERLINK("https://klasma.github.io/Logging_0140/tillsyn/A 23279-2025 tillsynsbegäran.docx", "A 23279-2025")</f>
        <v/>
      </c>
      <c r="AB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46216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46216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46216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46216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46216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46216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46216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46216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46216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46216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46216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46216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46216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46216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46216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46216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46216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46216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46216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46216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46216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53307-2023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46216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46216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36986-2025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45874</v>
      </c>
      <c r="E43" s="1" t="n">
        <v>46216</v>
      </c>
      <c r="F43" t="inlineStr">
        <is>
          <t>STOCKHOLMS LÄN</t>
        </is>
      </c>
      <c r="G43" t="inlineStr">
        <is>
          <t>NYKVARN</t>
        </is>
      </c>
      <c r="I43" t="n">
        <v>10.6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46216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46216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46216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44947-2021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46216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46216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46216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46216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46216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46216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46216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46216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46216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46216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46216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18780-2026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46216</v>
      </c>
      <c r="F58" t="inlineStr">
        <is>
          <t>STOCKHOLMS LÄN</t>
        </is>
      </c>
      <c r="G58" t="inlineStr">
        <is>
          <t>NYKVARN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46216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19217-2026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46216</v>
      </c>
      <c r="F60" t="inlineStr">
        <is>
          <t>STOCKHOLMS LÄN</t>
        </is>
      </c>
      <c r="G60" t="inlineStr">
        <is>
          <t>NYKVARN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46216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46216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46216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46216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50031-2023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46216</v>
      </c>
      <c r="F65" t="inlineStr">
        <is>
          <t>STOCKHOLMS LÄN</t>
        </is>
      </c>
      <c r="G65" t="inlineStr">
        <is>
          <t>NYKVARN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46216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71540-2021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46216</v>
      </c>
      <c r="F67" t="inlineStr">
        <is>
          <t>STOCKHOLMS LÄN</t>
        </is>
      </c>
      <c r="G67" t="inlineStr">
        <is>
          <t>NYKVARN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7926-2023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46216</v>
      </c>
      <c r="F68" t="inlineStr">
        <is>
          <t>STOCKHOLMS LÄN</t>
        </is>
      </c>
      <c r="G68" t="inlineStr">
        <is>
          <t>NYKVARN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22529-2022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46216</v>
      </c>
      <c r="F69" t="inlineStr">
        <is>
          <t>STOCKHOLMS LÄN</t>
        </is>
      </c>
      <c r="G69" t="inlineStr">
        <is>
          <t>NYKVARN</t>
        </is>
      </c>
      <c r="H69" t="inlineStr">
        <is>
          <t>Allmännings- och besparingsskogar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46216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46216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46216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46216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46216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18222-2025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46216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24796-2026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46171</v>
      </c>
      <c r="E76" s="1" t="n">
        <v>46216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46216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46216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46216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46216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46216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46216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2026-07-13T14:53:35Z</dcterms:created>
  <dcterms:modified xmlns:dcterms="http://purl.org/dc/terms/" xmlns:xsi="http://www.w3.org/2001/XMLSchema-instance" xsi:type="dcterms:W3CDTF">2026-07-13T14:53:35Z</dcterms:modified>
</cp:coreProperties>
</file>