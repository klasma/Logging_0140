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46313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46313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46313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46313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46313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46313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46313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46313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46313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46313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46313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46313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46313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46313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46313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46313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46313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41251-2026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41251-2026 artfynd.xlsx", "A 41251-2026")</f>
        <v/>
      </c>
      <c r="X21">
        <f>HYPERLINK("https://klasma.github.io/Logging_0140/kartor/A 41251-2026 karta.png", "A 41251-2026")</f>
        <v/>
      </c>
      <c r="Y21">
        <f>HYPERLINK("https://klasma.github.io/Logging_0140/kartor_geotiff/A 41251-2026 georefererad karta.tif", "A 41251-2026")</f>
        <v/>
      </c>
      <c r="AA21">
        <f>HYPERLINK("https://klasma.github.io/Logging_0140/klagomål/A 41251-2026 FSC-klagomål.docx", "A 41251-2026")</f>
        <v/>
      </c>
      <c r="AB21">
        <f>HYPERLINK("https://klasma.github.io/Logging_0140/klagomålsmail/A 41251-2026 FSC-klagomål mail.docx", "A 41251-2026")</f>
        <v/>
      </c>
      <c r="AC21">
        <f>HYPERLINK("https://klasma.github.io/Logging_0140/tillsyn/A 41251-2026 tillsynsbegäran.docx", "A 41251-2026")</f>
        <v/>
      </c>
      <c r="AD21">
        <f>HYPERLINK("https://klasma.github.io/Logging_0140/tillsynsmail/A 41251-2026 tillsynsbegäran mail.docx", "A 41251-2026")</f>
        <v/>
      </c>
    </row>
    <row r="22" ht="15" customHeight="1">
      <c r="A22" t="inlineStr">
        <is>
          <t>A 23279-2025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46313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23279-2025 artfynd.xlsx", "A 23279-2025")</f>
        <v/>
      </c>
      <c r="X22">
        <f>HYPERLINK("https://klasma.github.io/Logging_0140/kartor/A 23279-2025 karta.png", "A 23279-2025")</f>
        <v/>
      </c>
      <c r="Y22">
        <f>HYPERLINK("https://klasma.github.io/Logging_0140/kartor_geotiff/A 23279-2025 georefererad karta.tif", "A 23279-2025")</f>
        <v/>
      </c>
      <c r="AA22">
        <f>HYPERLINK("https://klasma.github.io/Logging_0140/klagomål/A 23279-2025 FSC-klagomål.docx", "A 23279-2025")</f>
        <v/>
      </c>
      <c r="AB22">
        <f>HYPERLINK("https://klasma.github.io/Logging_0140/klagomålsmail/A 23279-2025 FSC-klagomål mail.docx", "A 23279-2025")</f>
        <v/>
      </c>
      <c r="AC22">
        <f>HYPERLINK("https://klasma.github.io/Logging_0140/tillsyn/A 23279-2025 tillsynsbegäran.docx", "A 23279-2025")</f>
        <v/>
      </c>
      <c r="AD22">
        <f>HYPERLINK("https://klasma.github.io/Logging_0140/tillsynsmail/A 23279-2025 tillsynsbegäran mail.docx", "A 23279-2025")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46313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46313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46313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46313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46313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46313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46313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46313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46313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46313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46313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46313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46313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46313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46313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46313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45309</v>
      </c>
      <c r="E39" s="1" t="n">
        <v>46313</v>
      </c>
      <c r="F39" t="inlineStr">
        <is>
          <t>STOCKHOLMS LÄN</t>
        </is>
      </c>
      <c r="G39" t="inlineStr">
        <is>
          <t>NYKVARN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46313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32555-2023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45121</v>
      </c>
      <c r="E41" s="1" t="n">
        <v>46313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46313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46313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46313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46313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46313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46313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46313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46313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46313</v>
      </c>
      <c r="F50" t="inlineStr">
        <is>
          <t>STOCKHOLMS LÄN</t>
        </is>
      </c>
      <c r="G50" t="inlineStr">
        <is>
          <t>NYKVARN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46313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46313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46313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45756</v>
      </c>
      <c r="E54" s="1" t="n">
        <v>46313</v>
      </c>
      <c r="F54" t="inlineStr">
        <is>
          <t>STOCKHOLMS LÄN</t>
        </is>
      </c>
      <c r="G54" t="inlineStr">
        <is>
          <t>NYKVARN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46313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46313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46313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46313</v>
      </c>
      <c r="F58" t="inlineStr">
        <is>
          <t>STOCKHOLMS LÄN</t>
        </is>
      </c>
      <c r="G58" t="inlineStr">
        <is>
          <t>NYKVARN</t>
        </is>
      </c>
      <c r="I58" t="n">
        <v>10.6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46313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46313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46313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46313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46313</v>
      </c>
      <c r="F63" t="inlineStr">
        <is>
          <t>STOCKHOLMS LÄN</t>
        </is>
      </c>
      <c r="G63" t="inlineStr">
        <is>
          <t>NYKVARN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46313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46313</v>
      </c>
      <c r="F65" t="inlineStr">
        <is>
          <t>STOCKHOLMS LÄN</t>
        </is>
      </c>
      <c r="G65" t="inlineStr">
        <is>
          <t>NYKVARN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46313</v>
      </c>
      <c r="F66" t="inlineStr">
        <is>
          <t>STOCKHOLMS LÄN</t>
        </is>
      </c>
      <c r="G66" t="inlineStr">
        <is>
          <t>NYKVARN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46313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46313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46313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46313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46313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46313</v>
      </c>
      <c r="F72" t="inlineStr">
        <is>
          <t>STOCKHOLMS LÄN</t>
        </is>
      </c>
      <c r="G72" t="inlineStr">
        <is>
          <t>NYKVARN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46273</v>
      </c>
      <c r="E73" s="1" t="n">
        <v>46313</v>
      </c>
      <c r="F73" t="inlineStr">
        <is>
          <t>STOCKHOLMS LÄN</t>
        </is>
      </c>
      <c r="G73" t="inlineStr">
        <is>
          <t>NYKVARN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46313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46313</v>
      </c>
      <c r="F75" t="inlineStr">
        <is>
          <t>STOCKHOLMS LÄN</t>
        </is>
      </c>
      <c r="G75" t="inlineStr">
        <is>
          <t>NYKVARN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46313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46313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46313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46313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46313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46313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46313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63592-2023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45275</v>
      </c>
      <c r="E83" s="1" t="n">
        <v>46313</v>
      </c>
      <c r="F83" t="inlineStr">
        <is>
          <t>STOCKHOLMS LÄN</t>
        </is>
      </c>
      <c r="G83" t="inlineStr">
        <is>
          <t>NYKVARN</t>
        </is>
      </c>
      <c r="H83" t="inlineStr">
        <is>
          <t>Kommuner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46313</v>
      </c>
      <c r="F84" t="inlineStr">
        <is>
          <t>STOCKHOLMS LÄN</t>
        </is>
      </c>
      <c r="G84" t="inlineStr">
        <is>
          <t>NYKVARN</t>
        </is>
      </c>
      <c r="H84" t="inlineStr">
        <is>
          <t>Allmännings- och besparingsskogar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46313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46313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46313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46313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46313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2026-10-18T08:09:32Z</dcterms:created>
  <dcterms:modified xmlns:dcterms="http://purl.org/dc/terms/" xmlns:xsi="http://www.w3.org/2001/XMLSchema-instance" xsi:type="dcterms:W3CDTF">2026-10-18T08:09:32Z</dcterms:modified>
</cp:coreProperties>
</file>