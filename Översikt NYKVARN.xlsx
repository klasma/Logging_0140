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46301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46301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46301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46301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46301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46301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46301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39539-2023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45167</v>
      </c>
      <c r="E11" s="1" t="n">
        <v>46301</v>
      </c>
      <c r="F11" t="inlineStr">
        <is>
          <t>STOCKHOLMS LÄN</t>
        </is>
      </c>
      <c r="G11" t="inlineStr">
        <is>
          <t>NYKVARN</t>
        </is>
      </c>
      <c r="I11" t="n">
        <v>2.3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39539-2023 artfynd.xlsx", "A 39539-2023")</f>
        <v/>
      </c>
      <c r="X11">
        <f>HYPERLINK("https://klasma.github.io/Logging_0140/kartor/A 39539-2023 karta.png", "A 39539-2023")</f>
        <v/>
      </c>
      <c r="Y11">
        <f>HYPERLINK("https://klasma.github.io/Logging_0140/kartor_geotiff/A 39539-2023 georefererad karta.tif", "A 39539-2023")</f>
        <v/>
      </c>
      <c r="AA11">
        <f>HYPERLINK("https://klasma.github.io/Logging_0140/klagomål/A 39539-2023 FSC-klagomål.docx", "A 39539-2023")</f>
        <v/>
      </c>
      <c r="AB11">
        <f>HYPERLINK("https://klasma.github.io/Logging_0140/klagomålsmail/A 39539-2023 FSC-klagomål mail.docx", "A 39539-2023")</f>
        <v/>
      </c>
      <c r="AC11">
        <f>HYPERLINK("https://klasma.github.io/Logging_0140/tillsyn/A 39539-2023 tillsynsbegäran.docx", "A 39539-2023")</f>
        <v/>
      </c>
      <c r="AD11">
        <f>HYPERLINK("https://klasma.github.io/Logging_0140/tillsynsmail/A 39539-2023 tillsynsbegäran mail.docx", "A 39539-2023")</f>
        <v/>
      </c>
    </row>
    <row r="12" ht="15" customHeight="1">
      <c r="A12" t="inlineStr">
        <is>
          <t>A 11393-2022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44630</v>
      </c>
      <c r="E12" s="1" t="n">
        <v>46301</v>
      </c>
      <c r="F12" t="inlineStr">
        <is>
          <t>STOCKHOLMS LÄN</t>
        </is>
      </c>
      <c r="G12" t="inlineStr">
        <is>
          <t>NYKVARN</t>
        </is>
      </c>
      <c r="I12" t="n">
        <v>3.8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Björksplintborre</t>
        </is>
      </c>
      <c r="W12">
        <f>HYPERLINK("https://klasma.github.io/Logging_0140/artfynd/A 11393-2022 artfynd.xlsx", "A 11393-2022")</f>
        <v/>
      </c>
      <c r="X12">
        <f>HYPERLINK("https://klasma.github.io/Logging_0140/kartor/A 11393-2022 karta.png", "A 11393-2022")</f>
        <v/>
      </c>
      <c r="Y12">
        <f>HYPERLINK("https://klasma.github.io/Logging_0140/kartor_geotiff/A 11393-2022 georefererad karta.tif", "A 11393-2022")</f>
        <v/>
      </c>
      <c r="AA12">
        <f>HYPERLINK("https://klasma.github.io/Logging_0140/klagomål/A 11393-2022 FSC-klagomål.docx", "A 11393-2022")</f>
        <v/>
      </c>
      <c r="AB12">
        <f>HYPERLINK("https://klasma.github.io/Logging_0140/klagomålsmail/A 11393-2022 FSC-klagomål mail.docx", "A 11393-2022")</f>
        <v/>
      </c>
      <c r="AC12">
        <f>HYPERLINK("https://klasma.github.io/Logging_0140/tillsyn/A 11393-2022 tillsynsbegäran.docx", "A 11393-2022")</f>
        <v/>
      </c>
      <c r="AD12">
        <f>HYPERLINK("https://klasma.github.io/Logging_0140/tillsynsmail/A 11393-2022 tillsynsbegäran mail.docx", "A 11393-2022")</f>
        <v/>
      </c>
    </row>
    <row r="13" ht="15" customHeight="1">
      <c r="A13" t="inlineStr">
        <is>
          <t>A 11388-2024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45372</v>
      </c>
      <c r="E13" s="1" t="n">
        <v>46301</v>
      </c>
      <c r="F13" t="inlineStr">
        <is>
          <t>STOCKHOLMS LÄN</t>
        </is>
      </c>
      <c r="G13" t="inlineStr">
        <is>
          <t>NYKVARN</t>
        </is>
      </c>
      <c r="I13" t="n">
        <v>4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3</v>
      </c>
      <c r="U13" t="n">
        <v>3</v>
      </c>
      <c r="V13" s="2" t="inlineStr">
        <is>
          <t>Igelkott</t>
        </is>
      </c>
      <c r="W13">
        <f>HYPERLINK("https://klasma.github.io/Logging_0140/artfynd/A 11388-2024 artfynd.xlsx", "A 11388-2024")</f>
        <v/>
      </c>
      <c r="X13">
        <f>HYPERLINK("https://klasma.github.io/Logging_0140/kartor/A 11388-2024 karta.png", "A 11388-2024")</f>
        <v/>
      </c>
      <c r="Y13">
        <f>HYPERLINK("https://klasma.github.io/Logging_0140/kartor_geotiff/A 11388-2024 georefererad karta.tif", "A 11388-2024")</f>
        <v/>
      </c>
      <c r="AA13">
        <f>HYPERLINK("https://klasma.github.io/Logging_0140/klagomål/A 11388-2024 FSC-klagomål.docx", "A 11388-2024")</f>
        <v/>
      </c>
      <c r="AB13">
        <f>HYPERLINK("https://klasma.github.io/Logging_0140/klagomålsmail/A 11388-2024 FSC-klagomål mail.docx", "A 11388-2024")</f>
        <v/>
      </c>
      <c r="AC13">
        <f>HYPERLINK("https://klasma.github.io/Logging_0140/tillsyn/A 11388-2024 tillsynsbegäran.docx", "A 11388-2024")</f>
        <v/>
      </c>
      <c r="AD13">
        <f>HYPERLINK("https://klasma.github.io/Logging_0140/tillsynsmail/A 11388-2024 tillsynsbegäran mail.docx", "A 11388-2024")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46301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46301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46301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46301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46301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46301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46301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46301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46301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46301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46301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46301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46301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46301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46301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46301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46301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46301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46301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46301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46301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46301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46301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46301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46301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46301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46301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46301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46301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46301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46301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46301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38535-2025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45884</v>
      </c>
      <c r="E46" s="1" t="n">
        <v>46301</v>
      </c>
      <c r="F46" t="inlineStr">
        <is>
          <t>STOCKHOLMS LÄN</t>
        </is>
      </c>
      <c r="G46" t="inlineStr">
        <is>
          <t>NYKVARN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46301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46301</v>
      </c>
      <c r="F48" t="inlineStr">
        <is>
          <t>STOCKHOLMS LÄN</t>
        </is>
      </c>
      <c r="G48" t="inlineStr">
        <is>
          <t>NYKVARN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46301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46301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46301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19217-2026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46301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46301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46301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46301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46301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46301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46301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24796-2026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46301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46301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46301</v>
      </c>
      <c r="F61" t="inlineStr">
        <is>
          <t>STOCKHOLMS LÄN</t>
        </is>
      </c>
      <c r="G61" t="inlineStr">
        <is>
          <t>NYKVARN</t>
        </is>
      </c>
      <c r="I61" t="n">
        <v>10.6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46301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46301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46301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46301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46301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46301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46301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46301</v>
      </c>
      <c r="F69" t="inlineStr">
        <is>
          <t>STOCKHOLMS LÄN</t>
        </is>
      </c>
      <c r="G69" t="inlineStr">
        <is>
          <t>NYKVARN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46301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46301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46301</v>
      </c>
      <c r="F72" t="inlineStr">
        <is>
          <t>STOCKHOLMS LÄN</t>
        </is>
      </c>
      <c r="G72" t="inlineStr">
        <is>
          <t>NYKVARN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37244-2026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46274</v>
      </c>
      <c r="E73" s="1" t="n">
        <v>46301</v>
      </c>
      <c r="F73" t="inlineStr">
        <is>
          <t>STOCKHOLMS LÄN</t>
        </is>
      </c>
      <c r="G73" t="inlineStr">
        <is>
          <t>NYKVARN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46301</v>
      </c>
      <c r="F74" t="inlineStr">
        <is>
          <t>STOCKHOLMS LÄN</t>
        </is>
      </c>
      <c r="G74" t="inlineStr">
        <is>
          <t>NYKVARN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46301</v>
      </c>
      <c r="F75" t="inlineStr">
        <is>
          <t>STOCKHOLMS LÄN</t>
        </is>
      </c>
      <c r="G75" t="inlineStr">
        <is>
          <t>NYKVARN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46301</v>
      </c>
      <c r="F76" t="inlineStr">
        <is>
          <t>STOCKHOLMS LÄN</t>
        </is>
      </c>
      <c r="G76" t="inlineStr">
        <is>
          <t>NYKVARN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46301</v>
      </c>
      <c r="F77" t="inlineStr">
        <is>
          <t>STOCKHOLMS LÄN</t>
        </is>
      </c>
      <c r="G77" t="inlineStr">
        <is>
          <t>NYKVARN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37266-2026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46301</v>
      </c>
      <c r="F78" t="inlineStr">
        <is>
          <t>STOCKHOLMS LÄN</t>
        </is>
      </c>
      <c r="G78" t="inlineStr">
        <is>
          <t>NYKVARN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46301</v>
      </c>
      <c r="F79" t="inlineStr">
        <is>
          <t>STOCKHOLMS LÄN</t>
        </is>
      </c>
      <c r="G79" t="inlineStr">
        <is>
          <t>NYKVARN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46301</v>
      </c>
      <c r="F80" t="inlineStr">
        <is>
          <t>STOCKHOLMS LÄN</t>
        </is>
      </c>
      <c r="G80" t="inlineStr">
        <is>
          <t>NYKVARN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46301</v>
      </c>
      <c r="F81" t="inlineStr">
        <is>
          <t>STOCKHOLMS LÄN</t>
        </is>
      </c>
      <c r="G81" t="inlineStr">
        <is>
          <t>NYKVARN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46301</v>
      </c>
      <c r="F82" t="inlineStr">
        <is>
          <t>STOCKHOLMS LÄN</t>
        </is>
      </c>
      <c r="G82" t="inlineStr">
        <is>
          <t>NYKVARN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46301</v>
      </c>
      <c r="F83" t="inlineStr">
        <is>
          <t>STOCKHOLMS LÄN</t>
        </is>
      </c>
      <c r="G83" t="inlineStr">
        <is>
          <t>NYKVARN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46301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46301</v>
      </c>
      <c r="F85" t="inlineStr">
        <is>
          <t>STOCKHOLMS LÄN</t>
        </is>
      </c>
      <c r="G85" t="inlineStr">
        <is>
          <t>NYKVARN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46301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46301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46301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1582-2024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45427</v>
      </c>
      <c r="E89" s="1" t="n">
        <v>46301</v>
      </c>
      <c r="F89" t="inlineStr">
        <is>
          <t>STOCKHOLMS LÄN</t>
        </is>
      </c>
      <c r="G89" t="inlineStr">
        <is>
          <t>NYKVARN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710-2025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45720</v>
      </c>
      <c r="E90" s="1" t="n">
        <v>46301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2026-10-06T01:56:11Z</dcterms:created>
  <dcterms:modified xmlns:dcterms="http://purl.org/dc/terms/" xmlns:xsi="http://www.w3.org/2001/XMLSchema-instance" xsi:type="dcterms:W3CDTF">2026-10-06T01:56:11Z</dcterms:modified>
</cp:coreProperties>
</file>