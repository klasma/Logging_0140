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45845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11053-2022</t>
        </is>
      </c>
      <c r="B3" s="1" t="n">
        <v>44628</v>
      </c>
      <c r="C3" s="1" t="n">
        <v>45845</v>
      </c>
      <c r="D3" t="inlineStr">
        <is>
          <t>STOCKHOLMS LÄN</t>
        </is>
      </c>
      <c r="E3" t="inlineStr">
        <is>
          <t>NYKVARN</t>
        </is>
      </c>
      <c r="G3" t="n">
        <v>4.8</v>
      </c>
      <c r="H3" t="n">
        <v>10</v>
      </c>
      <c r="I3" t="n">
        <v>1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13</v>
      </c>
      <c r="R3" s="2" t="inlineStr">
        <is>
          <t>Grönfink
Stare
Björktrast
Fiskmås
Granticka
Gulsparv
Kråka
Rödvingetrast
Spillkråka
Svartvit flugsnappare
Vippärt
Vårärt
Blåsippa</t>
        </is>
      </c>
      <c r="S3">
        <f>HYPERLINK("https://klasma.github.io/Logging_0140/artfynd/A 11053-2022 artfynd.xlsx", "A 11053-2022")</f>
        <v/>
      </c>
      <c r="T3">
        <f>HYPERLINK("https://klasma.github.io/Logging_0140/kartor/A 11053-2022 karta.png", "A 11053-2022")</f>
        <v/>
      </c>
      <c r="V3">
        <f>HYPERLINK("https://klasma.github.io/Logging_0140/klagomål/A 11053-2022 FSC-klagomål.docx", "A 11053-2022")</f>
        <v/>
      </c>
      <c r="W3">
        <f>HYPERLINK("https://klasma.github.io/Logging_0140/klagomålsmail/A 11053-2022 FSC-klagomål mail.docx", "A 11053-2022")</f>
        <v/>
      </c>
      <c r="X3">
        <f>HYPERLINK("https://klasma.github.io/Logging_0140/tillsyn/A 11053-2022 tillsynsbegäran.docx", "A 11053-2022")</f>
        <v/>
      </c>
      <c r="Y3">
        <f>HYPERLINK("https://klasma.github.io/Logging_0140/tillsynsmail/A 11053-2022 tillsynsbegäran mail.docx", "A 11053-2022")</f>
        <v/>
      </c>
      <c r="Z3">
        <f>HYPERLINK("https://klasma.github.io/Logging_0140/fåglar/A 11053-2022 prioriterade fågelarter.docx", "A 11053-2022")</f>
        <v/>
      </c>
    </row>
    <row r="4" ht="15" customHeight="1">
      <c r="A4" t="inlineStr">
        <is>
          <t>A 12403-2022</t>
        </is>
      </c>
      <c r="B4" s="1" t="n">
        <v>44637</v>
      </c>
      <c r="C4" s="1" t="n">
        <v>45845</v>
      </c>
      <c r="D4" t="inlineStr">
        <is>
          <t>STOCKHOLMS LÄN</t>
        </is>
      </c>
      <c r="E4" t="inlineStr">
        <is>
          <t>NYKVARN</t>
        </is>
      </c>
      <c r="G4" t="n">
        <v>9.300000000000001</v>
      </c>
      <c r="H4" t="n">
        <v>0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Vedtrappmossa
Hasselticka
Svart trolldruva
Sårläka
Tibast</t>
        </is>
      </c>
      <c r="S4">
        <f>HYPERLINK("https://klasma.github.io/Logging_0140/artfynd/A 12403-2022 artfynd.xlsx", "A 12403-2022")</f>
        <v/>
      </c>
      <c r="T4">
        <f>HYPERLINK("https://klasma.github.io/Logging_0140/kartor/A 12403-2022 karta.png", "A 12403-2022")</f>
        <v/>
      </c>
      <c r="V4">
        <f>HYPERLINK("https://klasma.github.io/Logging_0140/klagomål/A 12403-2022 FSC-klagomål.docx", "A 12403-2022")</f>
        <v/>
      </c>
      <c r="W4">
        <f>HYPERLINK("https://klasma.github.io/Logging_0140/klagomålsmail/A 12403-2022 FSC-klagomål mail.docx", "A 12403-2022")</f>
        <v/>
      </c>
      <c r="X4">
        <f>HYPERLINK("https://klasma.github.io/Logging_0140/tillsyn/A 12403-2022 tillsynsbegäran.docx", "A 12403-2022")</f>
        <v/>
      </c>
      <c r="Y4">
        <f>HYPERLINK("https://klasma.github.io/Logging_0140/tillsynsmail/A 12403-2022 tillsynsbegäran mail.docx", "A 12403-2022")</f>
        <v/>
      </c>
    </row>
    <row r="5" ht="15" customHeight="1">
      <c r="A5" t="inlineStr">
        <is>
          <t>A 49680-2022</t>
        </is>
      </c>
      <c r="B5" s="1" t="n">
        <v>44862</v>
      </c>
      <c r="C5" s="1" t="n">
        <v>45845</v>
      </c>
      <c r="D5" t="inlineStr">
        <is>
          <t>STOCKHOLMS LÄN</t>
        </is>
      </c>
      <c r="E5" t="inlineStr">
        <is>
          <t>NYKVARN</t>
        </is>
      </c>
      <c r="F5" t="inlineStr">
        <is>
          <t>Allmännings- och besparingsskogar</t>
        </is>
      </c>
      <c r="G5" t="n">
        <v>2.4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Granticka
Ullticka
Granbarkgnagare</t>
        </is>
      </c>
      <c r="S5">
        <f>HYPERLINK("https://klasma.github.io/Logging_0140/artfynd/A 49680-2022 artfynd.xlsx", "A 49680-2022")</f>
        <v/>
      </c>
      <c r="T5">
        <f>HYPERLINK("https://klasma.github.io/Logging_0140/kartor/A 49680-2022 karta.png", "A 49680-2022")</f>
        <v/>
      </c>
      <c r="V5">
        <f>HYPERLINK("https://klasma.github.io/Logging_0140/klagomål/A 49680-2022 FSC-klagomål.docx", "A 49680-2022")</f>
        <v/>
      </c>
      <c r="W5">
        <f>HYPERLINK("https://klasma.github.io/Logging_0140/klagomålsmail/A 49680-2022 FSC-klagomål mail.docx", "A 49680-2022")</f>
        <v/>
      </c>
      <c r="X5">
        <f>HYPERLINK("https://klasma.github.io/Logging_0140/tillsyn/A 49680-2022 tillsynsbegäran.docx", "A 49680-2022")</f>
        <v/>
      </c>
      <c r="Y5">
        <f>HYPERLINK("https://klasma.github.io/Logging_0140/tillsynsmail/A 49680-2022 tillsynsbegäran mail.docx", "A 49680-2022")</f>
        <v/>
      </c>
    </row>
    <row r="6" ht="15" customHeight="1">
      <c r="A6" t="inlineStr">
        <is>
          <t>A 6852-2022</t>
        </is>
      </c>
      <c r="B6" s="1" t="n">
        <v>44602</v>
      </c>
      <c r="C6" s="1" t="n">
        <v>45845</v>
      </c>
      <c r="D6" t="inlineStr">
        <is>
          <t>STOCKHOLMS LÄN</t>
        </is>
      </c>
      <c r="E6" t="inlineStr">
        <is>
          <t>NYKVARN</t>
        </is>
      </c>
      <c r="F6" t="inlineStr">
        <is>
          <t>Kommuner</t>
        </is>
      </c>
      <c r="G6" t="n">
        <v>5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Fjällig taggsvamp s.str.
Skarp dropptaggsvamp</t>
        </is>
      </c>
      <c r="S6">
        <f>HYPERLINK("https://klasma.github.io/Logging_0140/artfynd/A 6852-2022 artfynd.xlsx", "A 6852-2022")</f>
        <v/>
      </c>
      <c r="T6">
        <f>HYPERLINK("https://klasma.github.io/Logging_0140/kartor/A 6852-2022 karta.png", "A 6852-2022")</f>
        <v/>
      </c>
      <c r="V6">
        <f>HYPERLINK("https://klasma.github.io/Logging_0140/klagomål/A 6852-2022 FSC-klagomål.docx", "A 6852-2022")</f>
        <v/>
      </c>
      <c r="W6">
        <f>HYPERLINK("https://klasma.github.io/Logging_0140/klagomålsmail/A 6852-2022 FSC-klagomål mail.docx", "A 6852-2022")</f>
        <v/>
      </c>
      <c r="X6">
        <f>HYPERLINK("https://klasma.github.io/Logging_0140/tillsyn/A 6852-2022 tillsynsbegäran.docx", "A 6852-2022")</f>
        <v/>
      </c>
      <c r="Y6">
        <f>HYPERLINK("https://klasma.github.io/Logging_0140/tillsynsmail/A 6852-2022 tillsynsbegäran mail.docx", "A 6852-2022")</f>
        <v/>
      </c>
    </row>
    <row r="7" ht="15" customHeight="1">
      <c r="A7" t="inlineStr">
        <is>
          <t>A 15574-2023</t>
        </is>
      </c>
      <c r="B7" s="1" t="n">
        <v>45020</v>
      </c>
      <c r="C7" s="1" t="n">
        <v>45845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17.7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Rödbrun blekspik
Gulpudrad spiklav</t>
        </is>
      </c>
      <c r="S7">
        <f>HYPERLINK("https://klasma.github.io/Logging_0140/artfynd/A 15574-2023 artfynd.xlsx", "A 15574-2023")</f>
        <v/>
      </c>
      <c r="T7">
        <f>HYPERLINK("https://klasma.github.io/Logging_0140/kartor/A 15574-2023 karta.png", "A 15574-2023")</f>
        <v/>
      </c>
      <c r="V7">
        <f>HYPERLINK("https://klasma.github.io/Logging_0140/klagomål/A 15574-2023 FSC-klagomål.docx", "A 15574-2023")</f>
        <v/>
      </c>
      <c r="W7">
        <f>HYPERLINK("https://klasma.github.io/Logging_0140/klagomålsmail/A 15574-2023 FSC-klagomål mail.docx", "A 15574-2023")</f>
        <v/>
      </c>
      <c r="X7">
        <f>HYPERLINK("https://klasma.github.io/Logging_0140/tillsyn/A 15574-2023 tillsynsbegäran.docx", "A 15574-2023")</f>
        <v/>
      </c>
      <c r="Y7">
        <f>HYPERLINK("https://klasma.github.io/Logging_0140/tillsynsmail/A 15574-2023 tillsynsbegäran mail.docx", "A 15574-2023")</f>
        <v/>
      </c>
    </row>
    <row r="8" ht="15" customHeight="1">
      <c r="A8" t="inlineStr">
        <is>
          <t>A 36813-2024</t>
        </is>
      </c>
      <c r="B8" s="1" t="n">
        <v>45538</v>
      </c>
      <c r="C8" s="1" t="n">
        <v>45845</v>
      </c>
      <c r="D8" t="inlineStr">
        <is>
          <t>STOCKHOLMS LÄN</t>
        </is>
      </c>
      <c r="E8" t="inlineStr">
        <is>
          <t>NYKVARN</t>
        </is>
      </c>
      <c r="G8" t="n">
        <v>5.9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Vårärt
Blåsippa</t>
        </is>
      </c>
      <c r="S8">
        <f>HYPERLINK("https://klasma.github.io/Logging_0140/artfynd/A 36813-2024 artfynd.xlsx", "A 36813-2024")</f>
        <v/>
      </c>
      <c r="T8">
        <f>HYPERLINK("https://klasma.github.io/Logging_0140/kartor/A 36813-2024 karta.png", "A 36813-2024")</f>
        <v/>
      </c>
      <c r="V8">
        <f>HYPERLINK("https://klasma.github.io/Logging_0140/klagomål/A 36813-2024 FSC-klagomål.docx", "A 36813-2024")</f>
        <v/>
      </c>
      <c r="W8">
        <f>HYPERLINK("https://klasma.github.io/Logging_0140/klagomålsmail/A 36813-2024 FSC-klagomål mail.docx", "A 36813-2024")</f>
        <v/>
      </c>
      <c r="X8">
        <f>HYPERLINK("https://klasma.github.io/Logging_0140/tillsyn/A 36813-2024 tillsynsbegäran.docx", "A 36813-2024")</f>
        <v/>
      </c>
      <c r="Y8">
        <f>HYPERLINK("https://klasma.github.io/Logging_0140/tillsynsmail/A 36813-2024 tillsynsbegäran mail.docx", "A 36813-2024")</f>
        <v/>
      </c>
    </row>
    <row r="9" ht="15" customHeight="1">
      <c r="A9" t="inlineStr">
        <is>
          <t>A 13922-2020</t>
        </is>
      </c>
      <c r="B9" s="1" t="n">
        <v>43906</v>
      </c>
      <c r="C9" s="1" t="n">
        <v>45845</v>
      </c>
      <c r="D9" t="inlineStr">
        <is>
          <t>STOCKHOLMS LÄN</t>
        </is>
      </c>
      <c r="E9" t="inlineStr">
        <is>
          <t>NYKVARN</t>
        </is>
      </c>
      <c r="G9" t="n">
        <v>19.8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Svedjenäva</t>
        </is>
      </c>
      <c r="S9">
        <f>HYPERLINK("https://klasma.github.io/Logging_0140/artfynd/A 13922-2020 artfynd.xlsx", "A 13922-2020")</f>
        <v/>
      </c>
      <c r="T9">
        <f>HYPERLINK("https://klasma.github.io/Logging_0140/kartor/A 13922-2020 karta.png", "A 13922-2020")</f>
        <v/>
      </c>
      <c r="V9">
        <f>HYPERLINK("https://klasma.github.io/Logging_0140/klagomål/A 13922-2020 FSC-klagomål.docx", "A 13922-2020")</f>
        <v/>
      </c>
      <c r="W9">
        <f>HYPERLINK("https://klasma.github.io/Logging_0140/klagomålsmail/A 13922-2020 FSC-klagomål mail.docx", "A 13922-2020")</f>
        <v/>
      </c>
      <c r="X9">
        <f>HYPERLINK("https://klasma.github.io/Logging_0140/tillsyn/A 13922-2020 tillsynsbegäran.docx", "A 13922-2020")</f>
        <v/>
      </c>
      <c r="Y9">
        <f>HYPERLINK("https://klasma.github.io/Logging_0140/tillsynsmail/A 13922-2020 tillsynsbegäran mail.docx", "A 13922-2020")</f>
        <v/>
      </c>
    </row>
    <row r="10" ht="15" customHeight="1">
      <c r="A10" t="inlineStr">
        <is>
          <t>A 21628-2020</t>
        </is>
      </c>
      <c r="B10" s="1" t="n">
        <v>43956</v>
      </c>
      <c r="C10" s="1" t="n">
        <v>45845</v>
      </c>
      <c r="D10" t="inlineStr">
        <is>
          <t>STOCKHOLMS LÄN</t>
        </is>
      </c>
      <c r="E10" t="inlineStr">
        <is>
          <t>NYKVARN</t>
        </is>
      </c>
      <c r="G10" t="n">
        <v>1.5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21628-2020 artfynd.xlsx", "A 21628-2020")</f>
        <v/>
      </c>
      <c r="T10">
        <f>HYPERLINK("https://klasma.github.io/Logging_0140/kartor/A 21628-2020 karta.png", "A 21628-2020")</f>
        <v/>
      </c>
      <c r="V10">
        <f>HYPERLINK("https://klasma.github.io/Logging_0140/klagomål/A 21628-2020 FSC-klagomål.docx", "A 21628-2020")</f>
        <v/>
      </c>
      <c r="W10">
        <f>HYPERLINK("https://klasma.github.io/Logging_0140/klagomålsmail/A 21628-2020 FSC-klagomål mail.docx", "A 21628-2020")</f>
        <v/>
      </c>
      <c r="X10">
        <f>HYPERLINK("https://klasma.github.io/Logging_0140/tillsyn/A 21628-2020 tillsynsbegäran.docx", "A 21628-2020")</f>
        <v/>
      </c>
      <c r="Y10">
        <f>HYPERLINK("https://klasma.github.io/Logging_0140/tillsynsmail/A 21628-2020 tillsynsbegäran mail.docx", "A 21628-2020")</f>
        <v/>
      </c>
    </row>
    <row r="11" ht="15" customHeight="1">
      <c r="A11" t="inlineStr">
        <is>
          <t>A 8285-2022</t>
        </is>
      </c>
      <c r="B11" s="1" t="n">
        <v>44610</v>
      </c>
      <c r="C11" s="1" t="n">
        <v>45845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8285-2022 artfynd.xlsx", "A 8285-2022")</f>
        <v/>
      </c>
      <c r="T11">
        <f>HYPERLINK("https://klasma.github.io/Logging_0140/kartor/A 8285-2022 karta.png", "A 8285-2022")</f>
        <v/>
      </c>
      <c r="V11">
        <f>HYPERLINK("https://klasma.github.io/Logging_0140/klagomål/A 8285-2022 FSC-klagomål.docx", "A 8285-2022")</f>
        <v/>
      </c>
      <c r="W11">
        <f>HYPERLINK("https://klasma.github.io/Logging_0140/klagomålsmail/A 8285-2022 FSC-klagomål mail.docx", "A 8285-2022")</f>
        <v/>
      </c>
      <c r="X11">
        <f>HYPERLINK("https://klasma.github.io/Logging_0140/tillsyn/A 8285-2022 tillsynsbegäran.docx", "A 8285-2022")</f>
        <v/>
      </c>
      <c r="Y11">
        <f>HYPERLINK("https://klasma.github.io/Logging_0140/tillsynsmail/A 8285-2022 tillsynsbegäran mail.docx", "A 8285-2022")</f>
        <v/>
      </c>
    </row>
    <row r="12" ht="15" customHeight="1">
      <c r="A12" t="inlineStr">
        <is>
          <t>A 9714-2022</t>
        </is>
      </c>
      <c r="B12" s="1" t="n">
        <v>44617</v>
      </c>
      <c r="C12" s="1" t="n">
        <v>45845</v>
      </c>
      <c r="D12" t="inlineStr">
        <is>
          <t>STOCKHOLMS LÄN</t>
        </is>
      </c>
      <c r="E12" t="inlineStr">
        <is>
          <t>NYKVARN</t>
        </is>
      </c>
      <c r="G12" t="n">
        <v>0.5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Jättesvampmal</t>
        </is>
      </c>
      <c r="S12">
        <f>HYPERLINK("https://klasma.github.io/Logging_0140/artfynd/A 9714-2022 artfynd.xlsx", "A 9714-2022")</f>
        <v/>
      </c>
      <c r="T12">
        <f>HYPERLINK("https://klasma.github.io/Logging_0140/kartor/A 9714-2022 karta.png", "A 9714-2022")</f>
        <v/>
      </c>
      <c r="V12">
        <f>HYPERLINK("https://klasma.github.io/Logging_0140/klagomål/A 9714-2022 FSC-klagomål.docx", "A 9714-2022")</f>
        <v/>
      </c>
      <c r="W12">
        <f>HYPERLINK("https://klasma.github.io/Logging_0140/klagomålsmail/A 9714-2022 FSC-klagomål mail.docx", "A 9714-2022")</f>
        <v/>
      </c>
      <c r="X12">
        <f>HYPERLINK("https://klasma.github.io/Logging_0140/tillsyn/A 9714-2022 tillsynsbegäran.docx", "A 9714-2022")</f>
        <v/>
      </c>
      <c r="Y12">
        <f>HYPERLINK("https://klasma.github.io/Logging_0140/tillsynsmail/A 9714-2022 tillsynsbegäran mail.docx", "A 9714-2022")</f>
        <v/>
      </c>
    </row>
    <row r="13" ht="15" customHeight="1">
      <c r="A13" t="inlineStr">
        <is>
          <t>A 20456-2022</t>
        </is>
      </c>
      <c r="B13" s="1" t="n">
        <v>44699</v>
      </c>
      <c r="C13" s="1" t="n">
        <v>45845</v>
      </c>
      <c r="D13" t="inlineStr">
        <is>
          <t>STOCKHOLMS LÄN</t>
        </is>
      </c>
      <c r="E13" t="inlineStr">
        <is>
          <t>NYKVARN</t>
        </is>
      </c>
      <c r="F13" t="inlineStr">
        <is>
          <t>Allmännings- och besparingsskogar</t>
        </is>
      </c>
      <c r="G13" t="n">
        <v>15.4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HYPERLINK("https://klasma.github.io/Logging_0140/artfynd/A 20456-2022 artfynd.xlsx", "A 20456-2022")</f>
        <v/>
      </c>
      <c r="T13">
        <f>HYPERLINK("https://klasma.github.io/Logging_0140/kartor/A 20456-2022 karta.png", "A 20456-2022")</f>
        <v/>
      </c>
      <c r="V13">
        <f>HYPERLINK("https://klasma.github.io/Logging_0140/klagomål/A 20456-2022 FSC-klagomål.docx", "A 20456-2022")</f>
        <v/>
      </c>
      <c r="W13">
        <f>HYPERLINK("https://klasma.github.io/Logging_0140/klagomålsmail/A 20456-2022 FSC-klagomål mail.docx", "A 20456-2022")</f>
        <v/>
      </c>
      <c r="X13">
        <f>HYPERLINK("https://klasma.github.io/Logging_0140/tillsyn/A 20456-2022 tillsynsbegäran.docx", "A 20456-2022")</f>
        <v/>
      </c>
      <c r="Y13">
        <f>HYPERLINK("https://klasma.github.io/Logging_0140/tillsynsmail/A 20456-2022 tillsynsbegäran mail.docx", "A 20456-2022")</f>
        <v/>
      </c>
    </row>
    <row r="14" ht="15" customHeight="1">
      <c r="A14" t="inlineStr">
        <is>
          <t>A 19489-2023</t>
        </is>
      </c>
      <c r="B14" s="1" t="n">
        <v>45050</v>
      </c>
      <c r="C14" s="1" t="n">
        <v>45845</v>
      </c>
      <c r="D14" t="inlineStr">
        <is>
          <t>STOCKHOLMS LÄN</t>
        </is>
      </c>
      <c r="E14" t="inlineStr">
        <is>
          <t>NYKVARN</t>
        </is>
      </c>
      <c r="F14" t="inlineStr">
        <is>
          <t>Sveaskog</t>
        </is>
      </c>
      <c r="G14" t="n">
        <v>0.7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19489-2023 artfynd.xlsx", "A 19489-2023")</f>
        <v/>
      </c>
      <c r="T14">
        <f>HYPERLINK("https://klasma.github.io/Logging_0140/kartor/A 19489-2023 karta.png", "A 19489-2023")</f>
        <v/>
      </c>
      <c r="V14">
        <f>HYPERLINK("https://klasma.github.io/Logging_0140/klagomål/A 19489-2023 FSC-klagomål.docx", "A 19489-2023")</f>
        <v/>
      </c>
      <c r="W14">
        <f>HYPERLINK("https://klasma.github.io/Logging_0140/klagomålsmail/A 19489-2023 FSC-klagomål mail.docx", "A 19489-2023")</f>
        <v/>
      </c>
      <c r="X14">
        <f>HYPERLINK("https://klasma.github.io/Logging_0140/tillsyn/A 19489-2023 tillsynsbegäran.docx", "A 19489-2023")</f>
        <v/>
      </c>
      <c r="Y14">
        <f>HYPERLINK("https://klasma.github.io/Logging_0140/tillsynsmail/A 19489-2023 tillsynsbegäran mail.docx", "A 19489-2023")</f>
        <v/>
      </c>
    </row>
    <row r="15" ht="15" customHeight="1">
      <c r="A15" t="inlineStr">
        <is>
          <t>A 11388-2024</t>
        </is>
      </c>
      <c r="B15" s="1" t="n">
        <v>45372</v>
      </c>
      <c r="C15" s="1" t="n">
        <v>45845</v>
      </c>
      <c r="D15" t="inlineStr">
        <is>
          <t>STOCKHOLMS LÄN</t>
        </is>
      </c>
      <c r="E15" t="inlineStr">
        <is>
          <t>NYKVARN</t>
        </is>
      </c>
      <c r="G15" t="n">
        <v>4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HYPERLINK("https://klasma.github.io/Logging_0140/artfynd/A 11388-2024 artfynd.xlsx", "A 11388-2024")</f>
        <v/>
      </c>
      <c r="T15">
        <f>HYPERLINK("https://klasma.github.io/Logging_0140/kartor/A 11388-2024 karta.png", "A 11388-2024")</f>
        <v/>
      </c>
      <c r="V15">
        <f>HYPERLINK("https://klasma.github.io/Logging_0140/klagomål/A 11388-2024 FSC-klagomål.docx", "A 11388-2024")</f>
        <v/>
      </c>
      <c r="W15">
        <f>HYPERLINK("https://klasma.github.io/Logging_0140/klagomålsmail/A 11388-2024 FSC-klagomål mail.docx", "A 11388-2024")</f>
        <v/>
      </c>
      <c r="X15">
        <f>HYPERLINK("https://klasma.github.io/Logging_0140/tillsyn/A 11388-2024 tillsynsbegäran.docx", "A 11388-2024")</f>
        <v/>
      </c>
      <c r="Y15">
        <f>HYPERLINK("https://klasma.github.io/Logging_0140/tillsynsmail/A 11388-2024 tillsynsbegäran mail.docx", "A 11388-2024")</f>
        <v/>
      </c>
    </row>
    <row r="16" ht="15" customHeight="1">
      <c r="A16" t="inlineStr">
        <is>
          <t>A 13136-2024</t>
        </is>
      </c>
      <c r="B16" s="1" t="n">
        <v>45386</v>
      </c>
      <c r="C16" s="1" t="n">
        <v>45845</v>
      </c>
      <c r="D16" t="inlineStr">
        <is>
          <t>STOCKHOLMS LÄN</t>
        </is>
      </c>
      <c r="E16" t="inlineStr">
        <is>
          <t>NYKVARN</t>
        </is>
      </c>
      <c r="F16" t="inlineStr">
        <is>
          <t>Sveaskog</t>
        </is>
      </c>
      <c r="G16" t="n">
        <v>6.2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HYPERLINK("https://klasma.github.io/Logging_0140/artfynd/A 13136-2024 artfynd.xlsx", "A 13136-2024")</f>
        <v/>
      </c>
      <c r="T16">
        <f>HYPERLINK("https://klasma.github.io/Logging_0140/kartor/A 13136-2024 karta.png", "A 13136-2024")</f>
        <v/>
      </c>
      <c r="V16">
        <f>HYPERLINK("https://klasma.github.io/Logging_0140/klagomål/A 13136-2024 FSC-klagomål.docx", "A 13136-2024")</f>
        <v/>
      </c>
      <c r="W16">
        <f>HYPERLINK("https://klasma.github.io/Logging_0140/klagomålsmail/A 13136-2024 FSC-klagomål mail.docx", "A 13136-2024")</f>
        <v/>
      </c>
      <c r="X16">
        <f>HYPERLINK("https://klasma.github.io/Logging_0140/tillsyn/A 13136-2024 tillsynsbegäran.docx", "A 13136-2024")</f>
        <v/>
      </c>
      <c r="Y16">
        <f>HYPERLINK("https://klasma.github.io/Logging_0140/tillsynsmail/A 13136-2024 tillsynsbegäran mail.docx", "A 13136-2024")</f>
        <v/>
      </c>
    </row>
    <row r="17" ht="15" customHeight="1">
      <c r="A17" t="inlineStr">
        <is>
          <t>A 37597-2024</t>
        </is>
      </c>
      <c r="B17" s="1" t="n">
        <v>45541</v>
      </c>
      <c r="C17" s="1" t="n">
        <v>45845</v>
      </c>
      <c r="D17" t="inlineStr">
        <is>
          <t>STOCKHOLMS LÄN</t>
        </is>
      </c>
      <c r="E17" t="inlineStr">
        <is>
          <t>NYKVARN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Röd glada</t>
        </is>
      </c>
      <c r="S17">
        <f>HYPERLINK("https://klasma.github.io/Logging_0140/artfynd/A 37597-2024 artfynd.xlsx", "A 37597-2024")</f>
        <v/>
      </c>
      <c r="T17">
        <f>HYPERLINK("https://klasma.github.io/Logging_0140/kartor/A 37597-2024 karta.png", "A 37597-2024")</f>
        <v/>
      </c>
      <c r="V17">
        <f>HYPERLINK("https://klasma.github.io/Logging_0140/klagomål/A 37597-2024 FSC-klagomål.docx", "A 37597-2024")</f>
        <v/>
      </c>
      <c r="W17">
        <f>HYPERLINK("https://klasma.github.io/Logging_0140/klagomålsmail/A 37597-2024 FSC-klagomål mail.docx", "A 37597-2024")</f>
        <v/>
      </c>
      <c r="X17">
        <f>HYPERLINK("https://klasma.github.io/Logging_0140/tillsyn/A 37597-2024 tillsynsbegäran.docx", "A 37597-2024")</f>
        <v/>
      </c>
      <c r="Y17">
        <f>HYPERLINK("https://klasma.github.io/Logging_0140/tillsynsmail/A 37597-2024 tillsynsbegäran mail.docx", "A 37597-2024")</f>
        <v/>
      </c>
      <c r="Z17">
        <f>HYPERLINK("https://klasma.github.io/Logging_0140/fåglar/A 37597-2024 prioriterade fågelarter.docx", "A 37597-2024")</f>
        <v/>
      </c>
    </row>
    <row r="18" ht="15" customHeight="1">
      <c r="A18" t="inlineStr">
        <is>
          <t>A 23279-2025</t>
        </is>
      </c>
      <c r="B18" s="1" t="n">
        <v>45791</v>
      </c>
      <c r="C18" s="1" t="n">
        <v>45845</v>
      </c>
      <c r="D18" t="inlineStr">
        <is>
          <t>STOCKHOLMS LÄN</t>
        </is>
      </c>
      <c r="E18" t="inlineStr">
        <is>
          <t>NYKVARN</t>
        </is>
      </c>
      <c r="F18" t="inlineStr">
        <is>
          <t>Sveaskog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HYPERLINK("https://klasma.github.io/Logging_010140/artfynd/A 23279-2025 artfynd.xlsx", "A 23279-2025")</f>
        <v/>
      </c>
      <c r="T18">
        <f>HYPERLINK("https://klasma.github.io/Logging_010140/kartor/A 23279-2025 karta.png", "A 23279-2025")</f>
        <v/>
      </c>
      <c r="V18">
        <f>HYPERLINK("https://klasma.github.io/Logging_010140/klagomål/A 23279-2025 FSC-klagomål.docx", "A 23279-2025")</f>
        <v/>
      </c>
      <c r="W18">
        <f>HYPERLINK("https://klasma.github.io/Logging_010140/klagomålsmail/A 23279-2025 FSC-klagomål mail.docx", "A 23279-2025")</f>
        <v/>
      </c>
      <c r="X18">
        <f>HYPERLINK("https://klasma.github.io/Logging_010140/tillsyn/A 23279-2025 tillsynsbegäran.docx", "A 23279-2025")</f>
        <v/>
      </c>
      <c r="Y18">
        <f>HYPERLINK("https://klasma.github.io/Logging_010140/tillsynsmail/A 23279-2025 tillsynsbegäran mail.docx", "A 23279-2025")</f>
        <v/>
      </c>
    </row>
    <row r="19" ht="15" customHeight="1">
      <c r="A19" t="inlineStr">
        <is>
          <t>A 19377-2019</t>
        </is>
      </c>
      <c r="B19" s="1" t="n">
        <v>43565</v>
      </c>
      <c r="C19" s="1" t="n">
        <v>45845</v>
      </c>
      <c r="D19" t="inlineStr">
        <is>
          <t>STOCKHOLMS LÄN</t>
        </is>
      </c>
      <c r="E19" t="inlineStr">
        <is>
          <t>NYKVARN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26235-2019</t>
        </is>
      </c>
      <c r="B20" s="1" t="n">
        <v>43609</v>
      </c>
      <c r="C20" s="1" t="n">
        <v>45845</v>
      </c>
      <c r="D20" t="inlineStr">
        <is>
          <t>STOCKHOLMS LÄN</t>
        </is>
      </c>
      <c r="E20" t="inlineStr">
        <is>
          <t>NYKVARN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27611-2019</t>
        </is>
      </c>
      <c r="B21" s="1" t="n">
        <v>43619</v>
      </c>
      <c r="C21" s="1" t="n">
        <v>45845</v>
      </c>
      <c r="D21" t="inlineStr">
        <is>
          <t>STOCKHOLMS LÄN</t>
        </is>
      </c>
      <c r="E21" t="inlineStr">
        <is>
          <t>NYKVARN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27623-2019</t>
        </is>
      </c>
      <c r="B22" s="1" t="n">
        <v>43619</v>
      </c>
      <c r="C22" s="1" t="n">
        <v>45845</v>
      </c>
      <c r="D22" t="inlineStr">
        <is>
          <t>STOCKHOLMS LÄN</t>
        </is>
      </c>
      <c r="E22" t="inlineStr">
        <is>
          <t>NYKVARN</t>
        </is>
      </c>
      <c r="F22" t="inlineStr">
        <is>
          <t>Sveaskog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33196-2019</t>
        </is>
      </c>
      <c r="B23" s="1" t="n">
        <v>43649</v>
      </c>
      <c r="C23" s="1" t="n">
        <v>45845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34756-2019</t>
        </is>
      </c>
      <c r="B24" s="1" t="n">
        <v>43658</v>
      </c>
      <c r="C24" s="1" t="n">
        <v>45845</v>
      </c>
      <c r="D24" t="inlineStr">
        <is>
          <t>STOCKHOLMS LÄN</t>
        </is>
      </c>
      <c r="E24" t="inlineStr">
        <is>
          <t>NYKVARN</t>
        </is>
      </c>
      <c r="G24" t="n">
        <v>11.5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38216-2019</t>
        </is>
      </c>
      <c r="B25" s="1" t="n">
        <v>43684</v>
      </c>
      <c r="C25" s="1" t="n">
        <v>45845</v>
      </c>
      <c r="D25" t="inlineStr">
        <is>
          <t>STOCKHOLMS LÄN</t>
        </is>
      </c>
      <c r="E25" t="inlineStr">
        <is>
          <t>NYKVARN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47583-2019</t>
        </is>
      </c>
      <c r="B26" s="1" t="n">
        <v>43724</v>
      </c>
      <c r="C26" s="1" t="n">
        <v>45845</v>
      </c>
      <c r="D26" t="inlineStr">
        <is>
          <t>STOCKHOLMS LÄN</t>
        </is>
      </c>
      <c r="E26" t="inlineStr">
        <is>
          <t>NYKVARN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49121-2019</t>
        </is>
      </c>
      <c r="B27" s="1" t="n">
        <v>43731</v>
      </c>
      <c r="C27" s="1" t="n">
        <v>45845</v>
      </c>
      <c r="D27" t="inlineStr">
        <is>
          <t>STOCKHOLMS LÄN</t>
        </is>
      </c>
      <c r="E27" t="inlineStr">
        <is>
          <t>NYKVARN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49118-2019</t>
        </is>
      </c>
      <c r="B28" s="1" t="n">
        <v>43731</v>
      </c>
      <c r="C28" s="1" t="n">
        <v>45845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49096-2019</t>
        </is>
      </c>
      <c r="B29" s="1" t="n">
        <v>43731</v>
      </c>
      <c r="C29" s="1" t="n">
        <v>45845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51571-2019</t>
        </is>
      </c>
      <c r="B30" s="1" t="n">
        <v>43740</v>
      </c>
      <c r="C30" s="1" t="n">
        <v>45845</v>
      </c>
      <c r="D30" t="inlineStr">
        <is>
          <t>STOCKHOLMS LÄN</t>
        </is>
      </c>
      <c r="E30" t="inlineStr">
        <is>
          <t>NYKVARN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64490-2019</t>
        </is>
      </c>
      <c r="B31" s="1" t="n">
        <v>43798</v>
      </c>
      <c r="C31" s="1" t="n">
        <v>45845</v>
      </c>
      <c r="D31" t="inlineStr">
        <is>
          <t>STOCKHOLMS LÄN</t>
        </is>
      </c>
      <c r="E31" t="inlineStr">
        <is>
          <t>NYKVARN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65577-2019</t>
        </is>
      </c>
      <c r="B32" s="1" t="n">
        <v>43803</v>
      </c>
      <c r="C32" s="1" t="n">
        <v>45845</v>
      </c>
      <c r="D32" t="inlineStr">
        <is>
          <t>STOCKHOLMS LÄN</t>
        </is>
      </c>
      <c r="E32" t="inlineStr">
        <is>
          <t>NYKVARN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15878-2020</t>
        </is>
      </c>
      <c r="B33" s="1" t="n">
        <v>43915</v>
      </c>
      <c r="C33" s="1" t="n">
        <v>45845</v>
      </c>
      <c r="D33" t="inlineStr">
        <is>
          <t>STOCKHOLMS LÄN</t>
        </is>
      </c>
      <c r="E33" t="inlineStr">
        <is>
          <t>NYKVARN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17911-2020</t>
        </is>
      </c>
      <c r="B34" s="1" t="n">
        <v>43924</v>
      </c>
      <c r="C34" s="1" t="n">
        <v>45845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17926-2020</t>
        </is>
      </c>
      <c r="B35" s="1" t="n">
        <v>43924</v>
      </c>
      <c r="C35" s="1" t="n">
        <v>45845</v>
      </c>
      <c r="D35" t="inlineStr">
        <is>
          <t>STOCKHOLMS LÄN</t>
        </is>
      </c>
      <c r="E35" t="inlineStr">
        <is>
          <t>NYKVARN</t>
        </is>
      </c>
      <c r="F35" t="inlineStr">
        <is>
          <t>Kommuner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21634-2020</t>
        </is>
      </c>
      <c r="B36" s="1" t="n">
        <v>43956</v>
      </c>
      <c r="C36" s="1" t="n">
        <v>45845</v>
      </c>
      <c r="D36" t="inlineStr">
        <is>
          <t>STOCKHOLMS LÄN</t>
        </is>
      </c>
      <c r="E36" t="inlineStr">
        <is>
          <t>NYKVARN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27621-2020</t>
        </is>
      </c>
      <c r="B37" s="1" t="n">
        <v>43993</v>
      </c>
      <c r="C37" s="1" t="n">
        <v>45845</v>
      </c>
      <c r="D37" t="inlineStr">
        <is>
          <t>STOCKHOLMS LÄN</t>
        </is>
      </c>
      <c r="E37" t="inlineStr">
        <is>
          <t>NYKVARN</t>
        </is>
      </c>
      <c r="G37" t="n">
        <v>35.8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29254-2020</t>
        </is>
      </c>
      <c r="B38" s="1" t="n">
        <v>44000</v>
      </c>
      <c r="C38" s="1" t="n">
        <v>45845</v>
      </c>
      <c r="D38" t="inlineStr">
        <is>
          <t>STOCKHOLMS LÄN</t>
        </is>
      </c>
      <c r="E38" t="inlineStr">
        <is>
          <t>NYKVARN</t>
        </is>
      </c>
      <c r="F38" t="inlineStr">
        <is>
          <t>Allmännings- och besparingsskogar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48985-2020</t>
        </is>
      </c>
      <c r="B39" s="1" t="n">
        <v>44104</v>
      </c>
      <c r="C39" s="1" t="n">
        <v>45845</v>
      </c>
      <c r="D39" t="inlineStr">
        <is>
          <t>STOCKHOLMS LÄN</t>
        </is>
      </c>
      <c r="E39" t="inlineStr">
        <is>
          <t>NYKVARN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59570-2020</t>
        </is>
      </c>
      <c r="B40" s="1" t="n">
        <v>44148</v>
      </c>
      <c r="C40" s="1" t="n">
        <v>45845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68268-2020</t>
        </is>
      </c>
      <c r="B41" s="1" t="n">
        <v>44183</v>
      </c>
      <c r="C41" s="1" t="n">
        <v>45845</v>
      </c>
      <c r="D41" t="inlineStr">
        <is>
          <t>STOCKHOLMS LÄN</t>
        </is>
      </c>
      <c r="E41" t="inlineStr">
        <is>
          <t>NYKVARN</t>
        </is>
      </c>
      <c r="F41" t="inlineStr">
        <is>
          <t>Allmännings- och besparingsskogar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14584-2021</t>
        </is>
      </c>
      <c r="B42" s="1" t="n">
        <v>44279</v>
      </c>
      <c r="C42" s="1" t="n">
        <v>45845</v>
      </c>
      <c r="D42" t="inlineStr">
        <is>
          <t>STOCKHOLMS LÄN</t>
        </is>
      </c>
      <c r="E42" t="inlineStr">
        <is>
          <t>NYKVARN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20711-2021</t>
        </is>
      </c>
      <c r="B43" s="1" t="n">
        <v>44316</v>
      </c>
      <c r="C43" s="1" t="n">
        <v>45845</v>
      </c>
      <c r="D43" t="inlineStr">
        <is>
          <t>STOCKHOLMS LÄN</t>
        </is>
      </c>
      <c r="E43" t="inlineStr">
        <is>
          <t>NYKVARN</t>
        </is>
      </c>
      <c r="G43" t="n">
        <v>9.699999999999999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21913-2021</t>
        </is>
      </c>
      <c r="B44" s="1" t="n">
        <v>44322</v>
      </c>
      <c r="C44" s="1" t="n">
        <v>45845</v>
      </c>
      <c r="D44" t="inlineStr">
        <is>
          <t>STOCKHOLMS LÄN</t>
        </is>
      </c>
      <c r="E44" t="inlineStr">
        <is>
          <t>NYKVARN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23152-2021</t>
        </is>
      </c>
      <c r="B45" s="1" t="n">
        <v>44332</v>
      </c>
      <c r="C45" s="1" t="n">
        <v>45845</v>
      </c>
      <c r="D45" t="inlineStr">
        <is>
          <t>STOCKHOLMS LÄN</t>
        </is>
      </c>
      <c r="E45" t="inlineStr">
        <is>
          <t>NYKVARN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37967-2021</t>
        </is>
      </c>
      <c r="B46" s="1" t="n">
        <v>44403</v>
      </c>
      <c r="C46" s="1" t="n">
        <v>45845</v>
      </c>
      <c r="D46" t="inlineStr">
        <is>
          <t>STOCKHOLMS LÄN</t>
        </is>
      </c>
      <c r="E46" t="inlineStr">
        <is>
          <t>NYKVARN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43922-2021</t>
        </is>
      </c>
      <c r="B47" s="1" t="n">
        <v>44434</v>
      </c>
      <c r="C47" s="1" t="n">
        <v>45845</v>
      </c>
      <c r="D47" t="inlineStr">
        <is>
          <t>STOCKHOLMS LÄN</t>
        </is>
      </c>
      <c r="E47" t="inlineStr">
        <is>
          <t>NYKVARN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44947-2021</t>
        </is>
      </c>
      <c r="B48" s="1" t="n">
        <v>44438</v>
      </c>
      <c r="C48" s="1" t="n">
        <v>45845</v>
      </c>
      <c r="D48" t="inlineStr">
        <is>
          <t>STOCKHOLMS LÄN</t>
        </is>
      </c>
      <c r="E48" t="inlineStr">
        <is>
          <t>NYKVARN</t>
        </is>
      </c>
      <c r="F48" t="inlineStr">
        <is>
          <t>Allmännings- och besparingsskogar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51787-2021</t>
        </is>
      </c>
      <c r="B49" s="1" t="n">
        <v>44462</v>
      </c>
      <c r="C49" s="1" t="n">
        <v>45845</v>
      </c>
      <c r="D49" t="inlineStr">
        <is>
          <t>STOCKHOLMS LÄN</t>
        </is>
      </c>
      <c r="E49" t="inlineStr">
        <is>
          <t>NYKVARN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54418-2021</t>
        </is>
      </c>
      <c r="B50" s="1" t="n">
        <v>44473</v>
      </c>
      <c r="C50" s="1" t="n">
        <v>45845</v>
      </c>
      <c r="D50" t="inlineStr">
        <is>
          <t>STOCKHOLMS LÄN</t>
        </is>
      </c>
      <c r="E50" t="inlineStr">
        <is>
          <t>NYKVARN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67220-2021</t>
        </is>
      </c>
      <c r="B51" s="1" t="n">
        <v>44523</v>
      </c>
      <c r="C51" s="1" t="n">
        <v>45845</v>
      </c>
      <c r="D51" t="inlineStr">
        <is>
          <t>STOCKHOLMS LÄN</t>
        </is>
      </c>
      <c r="E51" t="inlineStr">
        <is>
          <t>NYKVARN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71540-2021</t>
        </is>
      </c>
      <c r="B52" s="1" t="n">
        <v>44540</v>
      </c>
      <c r="C52" s="1" t="n">
        <v>45845</v>
      </c>
      <c r="D52" t="inlineStr">
        <is>
          <t>STOCKHOLMS LÄN</t>
        </is>
      </c>
      <c r="E52" t="inlineStr">
        <is>
          <t>NYKVARN</t>
        </is>
      </c>
      <c r="G52" t="n">
        <v>6.7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73212-2021</t>
        </is>
      </c>
      <c r="B53" s="1" t="n">
        <v>44550</v>
      </c>
      <c r="C53" s="1" t="n">
        <v>45845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74173-2021</t>
        </is>
      </c>
      <c r="B54" s="1" t="n">
        <v>44558</v>
      </c>
      <c r="C54" s="1" t="n">
        <v>45845</v>
      </c>
      <c r="D54" t="inlineStr">
        <is>
          <t>STOCKHOLMS LÄN</t>
        </is>
      </c>
      <c r="E54" t="inlineStr">
        <is>
          <t>NYKVARN</t>
        </is>
      </c>
      <c r="F54" t="inlineStr">
        <is>
          <t>Allmännings- och besparingsskogar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6876-2022</t>
        </is>
      </c>
      <c r="B55" s="1" t="n">
        <v>44602</v>
      </c>
      <c r="C55" s="1" t="n">
        <v>45845</v>
      </c>
      <c r="D55" t="inlineStr">
        <is>
          <t>STOCKHOLMS LÄN</t>
        </is>
      </c>
      <c r="E55" t="inlineStr">
        <is>
          <t>NYKVARN</t>
        </is>
      </c>
      <c r="F55" t="inlineStr">
        <is>
          <t>Kommuner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6854-2022</t>
        </is>
      </c>
      <c r="B56" s="1" t="n">
        <v>44602</v>
      </c>
      <c r="C56" s="1" t="n">
        <v>45845</v>
      </c>
      <c r="D56" t="inlineStr">
        <is>
          <t>STOCKHOLMS LÄN</t>
        </is>
      </c>
      <c r="E56" t="inlineStr">
        <is>
          <t>NYKVARN</t>
        </is>
      </c>
      <c r="F56" t="inlineStr">
        <is>
          <t>Kommuner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6867-2022</t>
        </is>
      </c>
      <c r="B57" s="1" t="n">
        <v>44602</v>
      </c>
      <c r="C57" s="1" t="n">
        <v>45845</v>
      </c>
      <c r="D57" t="inlineStr">
        <is>
          <t>STOCKHOLMS LÄN</t>
        </is>
      </c>
      <c r="E57" t="inlineStr">
        <is>
          <t>NYKVARN</t>
        </is>
      </c>
      <c r="F57" t="inlineStr">
        <is>
          <t>Kommuner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6857-2022</t>
        </is>
      </c>
      <c r="B58" s="1" t="n">
        <v>44602</v>
      </c>
      <c r="C58" s="1" t="n">
        <v>45845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6861-2022</t>
        </is>
      </c>
      <c r="B59" s="1" t="n">
        <v>44602</v>
      </c>
      <c r="C59" s="1" t="n">
        <v>45845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8295-2022</t>
        </is>
      </c>
      <c r="B60" s="1" t="n">
        <v>44610</v>
      </c>
      <c r="C60" s="1" t="n">
        <v>45845</v>
      </c>
      <c r="D60" t="inlineStr">
        <is>
          <t>STOCKHOLMS LÄN</t>
        </is>
      </c>
      <c r="E60" t="inlineStr">
        <is>
          <t>NYKVARN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9408-2022</t>
        </is>
      </c>
      <c r="B61" s="1" t="n">
        <v>44616</v>
      </c>
      <c r="C61" s="1" t="n">
        <v>45845</v>
      </c>
      <c r="D61" t="inlineStr">
        <is>
          <t>STOCKHOLMS LÄN</t>
        </is>
      </c>
      <c r="E61" t="inlineStr">
        <is>
          <t>NYKVARN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11393-2022</t>
        </is>
      </c>
      <c r="B62" s="1" t="n">
        <v>44630</v>
      </c>
      <c r="C62" s="1" t="n">
        <v>45845</v>
      </c>
      <c r="D62" t="inlineStr">
        <is>
          <t>STOCKHOLMS LÄN</t>
        </is>
      </c>
      <c r="E62" t="inlineStr">
        <is>
          <t>NYKVARN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11348-2022</t>
        </is>
      </c>
      <c r="B63" s="1" t="n">
        <v>44630</v>
      </c>
      <c r="C63" s="1" t="n">
        <v>45845</v>
      </c>
      <c r="D63" t="inlineStr">
        <is>
          <t>STOCKHOLMS LÄN</t>
        </is>
      </c>
      <c r="E63" t="inlineStr">
        <is>
          <t>NYKVARN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11430-2022</t>
        </is>
      </c>
      <c r="B64" s="1" t="n">
        <v>44630</v>
      </c>
      <c r="C64" s="1" t="n">
        <v>45845</v>
      </c>
      <c r="D64" t="inlineStr">
        <is>
          <t>STOCKHOLMS LÄN</t>
        </is>
      </c>
      <c r="E64" t="inlineStr">
        <is>
          <t>NYKVARN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11996-2022</t>
        </is>
      </c>
      <c r="B65" s="1" t="n">
        <v>44635</v>
      </c>
      <c r="C65" s="1" t="n">
        <v>45845</v>
      </c>
      <c r="D65" t="inlineStr">
        <is>
          <t>STOCKHOLMS LÄN</t>
        </is>
      </c>
      <c r="E65" t="inlineStr">
        <is>
          <t>NYKVARN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12406-2022</t>
        </is>
      </c>
      <c r="B66" s="1" t="n">
        <v>44638</v>
      </c>
      <c r="C66" s="1" t="n">
        <v>45845</v>
      </c>
      <c r="D66" t="inlineStr">
        <is>
          <t>STOCKHOLMS LÄN</t>
        </is>
      </c>
      <c r="E66" t="inlineStr">
        <is>
          <t>NYKVARN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12578-2022</t>
        </is>
      </c>
      <c r="B67" s="1" t="n">
        <v>44638</v>
      </c>
      <c r="C67" s="1" t="n">
        <v>45845</v>
      </c>
      <c r="D67" t="inlineStr">
        <is>
          <t>STOCKHOLMS LÄN</t>
        </is>
      </c>
      <c r="E67" t="inlineStr">
        <is>
          <t>NYKVARN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19608-2022</t>
        </is>
      </c>
      <c r="B68" s="1" t="n">
        <v>44694</v>
      </c>
      <c r="C68" s="1" t="n">
        <v>45845</v>
      </c>
      <c r="D68" t="inlineStr">
        <is>
          <t>STOCKHOLMS LÄN</t>
        </is>
      </c>
      <c r="E68" t="inlineStr">
        <is>
          <t>NYKVARN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22531-2022</t>
        </is>
      </c>
      <c r="B69" s="1" t="n">
        <v>44713</v>
      </c>
      <c r="C69" s="1" t="n">
        <v>45845</v>
      </c>
      <c r="D69" t="inlineStr">
        <is>
          <t>STOCKHOLMS LÄN</t>
        </is>
      </c>
      <c r="E69" t="inlineStr">
        <is>
          <t>NYKVARN</t>
        </is>
      </c>
      <c r="F69" t="inlineStr">
        <is>
          <t>Allmännings- och besparingsskogar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22529-2022</t>
        </is>
      </c>
      <c r="B70" s="1" t="n">
        <v>44713</v>
      </c>
      <c r="C70" s="1" t="n">
        <v>45845</v>
      </c>
      <c r="D70" t="inlineStr">
        <is>
          <t>STOCKHOLMS LÄN</t>
        </is>
      </c>
      <c r="E70" t="inlineStr">
        <is>
          <t>NYKVARN</t>
        </is>
      </c>
      <c r="F70" t="inlineStr">
        <is>
          <t>Allmännings- och besparingsskogar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23456-2022</t>
        </is>
      </c>
      <c r="B71" s="1" t="n">
        <v>44720</v>
      </c>
      <c r="C71" s="1" t="n">
        <v>45845</v>
      </c>
      <c r="D71" t="inlineStr">
        <is>
          <t>STOCKHOLMS LÄN</t>
        </is>
      </c>
      <c r="E71" t="inlineStr">
        <is>
          <t>NYKVARN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24283-2022</t>
        </is>
      </c>
      <c r="B72" s="1" t="n">
        <v>44725</v>
      </c>
      <c r="C72" s="1" t="n">
        <v>45845</v>
      </c>
      <c r="D72" t="inlineStr">
        <is>
          <t>STOCKHOLMS LÄN</t>
        </is>
      </c>
      <c r="E72" t="inlineStr">
        <is>
          <t>NYKVARN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24281-2022</t>
        </is>
      </c>
      <c r="B73" s="1" t="n">
        <v>44725</v>
      </c>
      <c r="C73" s="1" t="n">
        <v>45845</v>
      </c>
      <c r="D73" t="inlineStr">
        <is>
          <t>STOCKHOLMS LÄN</t>
        </is>
      </c>
      <c r="E73" t="inlineStr">
        <is>
          <t>NYKVARN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24656-2022</t>
        </is>
      </c>
      <c r="B74" s="1" t="n">
        <v>44726</v>
      </c>
      <c r="C74" s="1" t="n">
        <v>45845</v>
      </c>
      <c r="D74" t="inlineStr">
        <is>
          <t>STOCKHOLMS LÄN</t>
        </is>
      </c>
      <c r="E74" t="inlineStr">
        <is>
          <t>NYKVARN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25278-2022</t>
        </is>
      </c>
      <c r="B75" s="1" t="n">
        <v>44730</v>
      </c>
      <c r="C75" s="1" t="n">
        <v>45845</v>
      </c>
      <c r="D75" t="inlineStr">
        <is>
          <t>STOCKHOLMS LÄN</t>
        </is>
      </c>
      <c r="E75" t="inlineStr">
        <is>
          <t>NYKVARN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37563-2022</t>
        </is>
      </c>
      <c r="B76" s="1" t="n">
        <v>44809</v>
      </c>
      <c r="C76" s="1" t="n">
        <v>45845</v>
      </c>
      <c r="D76" t="inlineStr">
        <is>
          <t>STOCKHOLMS LÄN</t>
        </is>
      </c>
      <c r="E76" t="inlineStr">
        <is>
          <t>NYKVARN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43230-2022</t>
        </is>
      </c>
      <c r="B77" s="1" t="n">
        <v>44834</v>
      </c>
      <c r="C77" s="1" t="n">
        <v>45845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43753-2022</t>
        </is>
      </c>
      <c r="B78" s="1" t="n">
        <v>44837</v>
      </c>
      <c r="C78" s="1" t="n">
        <v>45845</v>
      </c>
      <c r="D78" t="inlineStr">
        <is>
          <t>STOCKHOLMS LÄN</t>
        </is>
      </c>
      <c r="E78" t="inlineStr">
        <is>
          <t>NYKVARN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44531-2022</t>
        </is>
      </c>
      <c r="B79" s="1" t="n">
        <v>44840</v>
      </c>
      <c r="C79" s="1" t="n">
        <v>45845</v>
      </c>
      <c r="D79" t="inlineStr">
        <is>
          <t>STOCKHOLMS LÄN</t>
        </is>
      </c>
      <c r="E79" t="inlineStr">
        <is>
          <t>NYKVARN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44969-2022</t>
        </is>
      </c>
      <c r="B80" s="1" t="n">
        <v>44841</v>
      </c>
      <c r="C80" s="1" t="n">
        <v>45845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50836-2022</t>
        </is>
      </c>
      <c r="B81" s="1" t="n">
        <v>44867</v>
      </c>
      <c r="C81" s="1" t="n">
        <v>45845</v>
      </c>
      <c r="D81" t="inlineStr">
        <is>
          <t>STOCKHOLMS LÄN</t>
        </is>
      </c>
      <c r="E81" t="inlineStr">
        <is>
          <t>NYKVARN</t>
        </is>
      </c>
      <c r="F81" t="inlineStr">
        <is>
          <t>Allmännings- och besparingsskogar</t>
        </is>
      </c>
      <c r="G81" t="n">
        <v>7.9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52878-2022</t>
        </is>
      </c>
      <c r="B82" s="1" t="n">
        <v>44872</v>
      </c>
      <c r="C82" s="1" t="n">
        <v>45845</v>
      </c>
      <c r="D82" t="inlineStr">
        <is>
          <t>STOCKHOLMS LÄN</t>
        </is>
      </c>
      <c r="E82" t="inlineStr">
        <is>
          <t>NYKVARN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53204-2022</t>
        </is>
      </c>
      <c r="B83" s="1" t="n">
        <v>44872</v>
      </c>
      <c r="C83" s="1" t="n">
        <v>45845</v>
      </c>
      <c r="D83" t="inlineStr">
        <is>
          <t>STOCKHOLMS LÄN</t>
        </is>
      </c>
      <c r="E83" t="inlineStr">
        <is>
          <t>NYKVARN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52963-2022</t>
        </is>
      </c>
      <c r="B84" s="1" t="n">
        <v>44875</v>
      </c>
      <c r="C84" s="1" t="n">
        <v>45845</v>
      </c>
      <c r="D84" t="inlineStr">
        <is>
          <t>STOCKHOLMS LÄN</t>
        </is>
      </c>
      <c r="E84" t="inlineStr">
        <is>
          <t>NYKVARN</t>
        </is>
      </c>
      <c r="F84" t="inlineStr">
        <is>
          <t>Allmännings- och besparingsskogar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52960-2022</t>
        </is>
      </c>
      <c r="B85" s="1" t="n">
        <v>44875</v>
      </c>
      <c r="C85" s="1" t="n">
        <v>45845</v>
      </c>
      <c r="D85" t="inlineStr">
        <is>
          <t>STOCKHOLMS LÄN</t>
        </is>
      </c>
      <c r="E85" t="inlineStr">
        <is>
          <t>NYKVARN</t>
        </is>
      </c>
      <c r="F85" t="inlineStr">
        <is>
          <t>Allmännings- och besparingsskogar</t>
        </is>
      </c>
      <c r="G85" t="n">
        <v>7.6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54205-2022</t>
        </is>
      </c>
      <c r="B86" s="1" t="n">
        <v>44881</v>
      </c>
      <c r="C86" s="1" t="n">
        <v>45845</v>
      </c>
      <c r="D86" t="inlineStr">
        <is>
          <t>STOCKHOLMS LÄN</t>
        </is>
      </c>
      <c r="E86" t="inlineStr">
        <is>
          <t>NYKVARN</t>
        </is>
      </c>
      <c r="F86" t="inlineStr">
        <is>
          <t>Allmännings- och besparingsskogar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54614-2022</t>
        </is>
      </c>
      <c r="B87" s="1" t="n">
        <v>44883</v>
      </c>
      <c r="C87" s="1" t="n">
        <v>45845</v>
      </c>
      <c r="D87" t="inlineStr">
        <is>
          <t>STOCKHOLMS LÄN</t>
        </is>
      </c>
      <c r="E87" t="inlineStr">
        <is>
          <t>NYKVARN</t>
        </is>
      </c>
      <c r="F87" t="inlineStr">
        <is>
          <t>Allmännings- och besparingsskogar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54627-2022</t>
        </is>
      </c>
      <c r="B88" s="1" t="n">
        <v>44883</v>
      </c>
      <c r="C88" s="1" t="n">
        <v>45845</v>
      </c>
      <c r="D88" t="inlineStr">
        <is>
          <t>STOCKHOLMS LÄN</t>
        </is>
      </c>
      <c r="E88" t="inlineStr">
        <is>
          <t>NYKVARN</t>
        </is>
      </c>
      <c r="F88" t="inlineStr">
        <is>
          <t>Allmännings- och besparingsskogar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56044-2022</t>
        </is>
      </c>
      <c r="B89" s="1" t="n">
        <v>44889</v>
      </c>
      <c r="C89" s="1" t="n">
        <v>45845</v>
      </c>
      <c r="D89" t="inlineStr">
        <is>
          <t>STOCKHOLMS LÄN</t>
        </is>
      </c>
      <c r="E89" t="inlineStr">
        <is>
          <t>NYKVARN</t>
        </is>
      </c>
      <c r="F89" t="inlineStr">
        <is>
          <t>Kyrkan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60324-2022</t>
        </is>
      </c>
      <c r="B90" s="1" t="n">
        <v>44910</v>
      </c>
      <c r="C90" s="1" t="n">
        <v>45845</v>
      </c>
      <c r="D90" t="inlineStr">
        <is>
          <t>STOCKHOLMS LÄN</t>
        </is>
      </c>
      <c r="E90" t="inlineStr">
        <is>
          <t>NYKVARN</t>
        </is>
      </c>
      <c r="F90" t="inlineStr">
        <is>
          <t>Kyrkan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7926-2023</t>
        </is>
      </c>
      <c r="B91" s="1" t="n">
        <v>44973</v>
      </c>
      <c r="C91" s="1" t="n">
        <v>45845</v>
      </c>
      <c r="D91" t="inlineStr">
        <is>
          <t>STOCKHOLMS LÄN</t>
        </is>
      </c>
      <c r="E91" t="inlineStr">
        <is>
          <t>NYKVARN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7921-2023</t>
        </is>
      </c>
      <c r="B92" s="1" t="n">
        <v>44973</v>
      </c>
      <c r="C92" s="1" t="n">
        <v>45845</v>
      </c>
      <c r="D92" t="inlineStr">
        <is>
          <t>STOCKHOLMS LÄN</t>
        </is>
      </c>
      <c r="E92" t="inlineStr">
        <is>
          <t>NYKVARN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8096-2023</t>
        </is>
      </c>
      <c r="B93" s="1" t="n">
        <v>44974</v>
      </c>
      <c r="C93" s="1" t="n">
        <v>45845</v>
      </c>
      <c r="D93" t="inlineStr">
        <is>
          <t>STOCKHOLMS LÄN</t>
        </is>
      </c>
      <c r="E93" t="inlineStr">
        <is>
          <t>NYKVARN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15576-2023</t>
        </is>
      </c>
      <c r="B94" s="1" t="n">
        <v>45020</v>
      </c>
      <c r="C94" s="1" t="n">
        <v>45845</v>
      </c>
      <c r="D94" t="inlineStr">
        <is>
          <t>STOCKHOLMS LÄN</t>
        </is>
      </c>
      <c r="E94" t="inlineStr">
        <is>
          <t>NYKVARN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17779-2023</t>
        </is>
      </c>
      <c r="B95" s="1" t="n">
        <v>45036</v>
      </c>
      <c r="C95" s="1" t="n">
        <v>45845</v>
      </c>
      <c r="D95" t="inlineStr">
        <is>
          <t>STOCKHOLMS LÄN</t>
        </is>
      </c>
      <c r="E95" t="inlineStr">
        <is>
          <t>NYKVARN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18793-2023</t>
        </is>
      </c>
      <c r="B96" s="1" t="n">
        <v>45044</v>
      </c>
      <c r="C96" s="1" t="n">
        <v>45845</v>
      </c>
      <c r="D96" t="inlineStr">
        <is>
          <t>STOCKHOLMS LÄN</t>
        </is>
      </c>
      <c r="E96" t="inlineStr">
        <is>
          <t>NYKVARN</t>
        </is>
      </c>
      <c r="F96" t="inlineStr">
        <is>
          <t>Kyrkan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18795-2023</t>
        </is>
      </c>
      <c r="B97" s="1" t="n">
        <v>45044</v>
      </c>
      <c r="C97" s="1" t="n">
        <v>45845</v>
      </c>
      <c r="D97" t="inlineStr">
        <is>
          <t>STOCKHOLMS LÄN</t>
        </is>
      </c>
      <c r="E97" t="inlineStr">
        <is>
          <t>NYKVARN</t>
        </is>
      </c>
      <c r="F97" t="inlineStr">
        <is>
          <t>Kyrkan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19487-2023</t>
        </is>
      </c>
      <c r="B98" s="1" t="n">
        <v>45050</v>
      </c>
      <c r="C98" s="1" t="n">
        <v>45845</v>
      </c>
      <c r="D98" t="inlineStr">
        <is>
          <t>STOCKHOLMS LÄN</t>
        </is>
      </c>
      <c r="E98" t="inlineStr">
        <is>
          <t>NYKVARN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19490-2023</t>
        </is>
      </c>
      <c r="B99" s="1" t="n">
        <v>45050</v>
      </c>
      <c r="C99" s="1" t="n">
        <v>45845</v>
      </c>
      <c r="D99" t="inlineStr">
        <is>
          <t>STOCKHOLMS LÄN</t>
        </is>
      </c>
      <c r="E99" t="inlineStr">
        <is>
          <t>NYKVARN</t>
        </is>
      </c>
      <c r="F99" t="inlineStr">
        <is>
          <t>Sveaskog</t>
        </is>
      </c>
      <c r="G99" t="n">
        <v>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19488-2023</t>
        </is>
      </c>
      <c r="B100" s="1" t="n">
        <v>45050</v>
      </c>
      <c r="C100" s="1" t="n">
        <v>45845</v>
      </c>
      <c r="D100" t="inlineStr">
        <is>
          <t>STOCKHOLMS LÄN</t>
        </is>
      </c>
      <c r="E100" t="inlineStr">
        <is>
          <t>NYKVARN</t>
        </is>
      </c>
      <c r="F100" t="inlineStr">
        <is>
          <t>Sveaskog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19903-2023</t>
        </is>
      </c>
      <c r="B101" s="1" t="n">
        <v>45054</v>
      </c>
      <c r="C101" s="1" t="n">
        <v>45845</v>
      </c>
      <c r="D101" t="inlineStr">
        <is>
          <t>STOCKHOLMS LÄN</t>
        </is>
      </c>
      <c r="E101" t="inlineStr">
        <is>
          <t>NYKVARN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22054-2023</t>
        </is>
      </c>
      <c r="B102" s="1" t="n">
        <v>45069</v>
      </c>
      <c r="C102" s="1" t="n">
        <v>45845</v>
      </c>
      <c r="D102" t="inlineStr">
        <is>
          <t>STOCKHOLMS LÄN</t>
        </is>
      </c>
      <c r="E102" t="inlineStr">
        <is>
          <t>NYKVARN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25754-2023</t>
        </is>
      </c>
      <c r="B103" s="1" t="n">
        <v>45084</v>
      </c>
      <c r="C103" s="1" t="n">
        <v>45845</v>
      </c>
      <c r="D103" t="inlineStr">
        <is>
          <t>STOCKHOLMS LÄN</t>
        </is>
      </c>
      <c r="E103" t="inlineStr">
        <is>
          <t>NYKVARN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32555-2023</t>
        </is>
      </c>
      <c r="B104" s="1" t="n">
        <v>45121</v>
      </c>
      <c r="C104" s="1" t="n">
        <v>45845</v>
      </c>
      <c r="D104" t="inlineStr">
        <is>
          <t>STOCKHOLMS LÄN</t>
        </is>
      </c>
      <c r="E104" t="inlineStr">
        <is>
          <t>NYKVARN</t>
        </is>
      </c>
      <c r="F104" t="inlineStr">
        <is>
          <t>Sveaskog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38078-2023</t>
        </is>
      </c>
      <c r="B105" s="1" t="n">
        <v>45160</v>
      </c>
      <c r="C105" s="1" t="n">
        <v>45845</v>
      </c>
      <c r="D105" t="inlineStr">
        <is>
          <t>STOCKHOLMS LÄN</t>
        </is>
      </c>
      <c r="E105" t="inlineStr">
        <is>
          <t>NYKVARN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39533-2023</t>
        </is>
      </c>
      <c r="B106" s="1" t="n">
        <v>45167</v>
      </c>
      <c r="C106" s="1" t="n">
        <v>45845</v>
      </c>
      <c r="D106" t="inlineStr">
        <is>
          <t>STOCKHOLMS LÄN</t>
        </is>
      </c>
      <c r="E106" t="inlineStr">
        <is>
          <t>NYKVARN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39539-2023</t>
        </is>
      </c>
      <c r="B107" s="1" t="n">
        <v>45167</v>
      </c>
      <c r="C107" s="1" t="n">
        <v>45845</v>
      </c>
      <c r="D107" t="inlineStr">
        <is>
          <t>STOCKHOLMS LÄN</t>
        </is>
      </c>
      <c r="E107" t="inlineStr">
        <is>
          <t>NYKVARN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39726-2023</t>
        </is>
      </c>
      <c r="B108" s="1" t="n">
        <v>45167</v>
      </c>
      <c r="C108" s="1" t="n">
        <v>45845</v>
      </c>
      <c r="D108" t="inlineStr">
        <is>
          <t>STOCKHOLMS LÄN</t>
        </is>
      </c>
      <c r="E108" t="inlineStr">
        <is>
          <t>NYKVARN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40030-2023</t>
        </is>
      </c>
      <c r="B109" s="1" t="n">
        <v>45168</v>
      </c>
      <c r="C109" s="1" t="n">
        <v>45845</v>
      </c>
      <c r="D109" t="inlineStr">
        <is>
          <t>STOCKHOLMS LÄN</t>
        </is>
      </c>
      <c r="E109" t="inlineStr">
        <is>
          <t>NYKVARN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40168-2023</t>
        </is>
      </c>
      <c r="B110" s="1" t="n">
        <v>45169</v>
      </c>
      <c r="C110" s="1" t="n">
        <v>45845</v>
      </c>
      <c r="D110" t="inlineStr">
        <is>
          <t>STOCKHOLMS LÄN</t>
        </is>
      </c>
      <c r="E110" t="inlineStr">
        <is>
          <t>NYKVARN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41681-2023</t>
        </is>
      </c>
      <c r="B111" s="1" t="n">
        <v>45173</v>
      </c>
      <c r="C111" s="1" t="n">
        <v>45845</v>
      </c>
      <c r="D111" t="inlineStr">
        <is>
          <t>STOCKHOLMS LÄN</t>
        </is>
      </c>
      <c r="E111" t="inlineStr">
        <is>
          <t>NYKVARN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50020-2023</t>
        </is>
      </c>
      <c r="B112" s="1" t="n">
        <v>45215</v>
      </c>
      <c r="C112" s="1" t="n">
        <v>45845</v>
      </c>
      <c r="D112" t="inlineStr">
        <is>
          <t>STOCKHOLMS LÄN</t>
        </is>
      </c>
      <c r="E112" t="inlineStr">
        <is>
          <t>NYKVARN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49999-2023</t>
        </is>
      </c>
      <c r="B113" s="1" t="n">
        <v>45215</v>
      </c>
      <c r="C113" s="1" t="n">
        <v>45845</v>
      </c>
      <c r="D113" t="inlineStr">
        <is>
          <t>STOCKHOLMS LÄN</t>
        </is>
      </c>
      <c r="E113" t="inlineStr">
        <is>
          <t>NYKVARN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50027-2023</t>
        </is>
      </c>
      <c r="B114" s="1" t="n">
        <v>45215</v>
      </c>
      <c r="C114" s="1" t="n">
        <v>45845</v>
      </c>
      <c r="D114" t="inlineStr">
        <is>
          <t>STOCKHOLMS LÄN</t>
        </is>
      </c>
      <c r="E114" t="inlineStr">
        <is>
          <t>NYKVARN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50031-2023</t>
        </is>
      </c>
      <c r="B115" s="1" t="n">
        <v>45215</v>
      </c>
      <c r="C115" s="1" t="n">
        <v>45845</v>
      </c>
      <c r="D115" t="inlineStr">
        <is>
          <t>STOCKHOLMS LÄN</t>
        </is>
      </c>
      <c r="E115" t="inlineStr">
        <is>
          <t>NYKVARN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50037-2023</t>
        </is>
      </c>
      <c r="B116" s="1" t="n">
        <v>45215</v>
      </c>
      <c r="C116" s="1" t="n">
        <v>45845</v>
      </c>
      <c r="D116" t="inlineStr">
        <is>
          <t>STOCKHOLMS LÄN</t>
        </is>
      </c>
      <c r="E116" t="inlineStr">
        <is>
          <t>NYKVARN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51986-2023</t>
        </is>
      </c>
      <c r="B117" s="1" t="n">
        <v>45223</v>
      </c>
      <c r="C117" s="1" t="n">
        <v>45845</v>
      </c>
      <c r="D117" t="inlineStr">
        <is>
          <t>STOCKHOLMS LÄN</t>
        </is>
      </c>
      <c r="E117" t="inlineStr">
        <is>
          <t>NYKVARN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52003-2023</t>
        </is>
      </c>
      <c r="B118" s="1" t="n">
        <v>45223</v>
      </c>
      <c r="C118" s="1" t="n">
        <v>45845</v>
      </c>
      <c r="D118" t="inlineStr">
        <is>
          <t>STOCKHOLMS LÄN</t>
        </is>
      </c>
      <c r="E118" t="inlineStr">
        <is>
          <t>NYKVARN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52020-2023</t>
        </is>
      </c>
      <c r="B119" s="1" t="n">
        <v>45223</v>
      </c>
      <c r="C119" s="1" t="n">
        <v>45845</v>
      </c>
      <c r="D119" t="inlineStr">
        <is>
          <t>STOCKHOLMS LÄN</t>
        </is>
      </c>
      <c r="E119" t="inlineStr">
        <is>
          <t>NYKVARN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53337-2023</t>
        </is>
      </c>
      <c r="B120" s="1" t="n">
        <v>45229</v>
      </c>
      <c r="C120" s="1" t="n">
        <v>45845</v>
      </c>
      <c r="D120" t="inlineStr">
        <is>
          <t>STOCKHOLMS LÄN</t>
        </is>
      </c>
      <c r="E120" t="inlineStr">
        <is>
          <t>NYKVARN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53307-2023</t>
        </is>
      </c>
      <c r="B121" s="1" t="n">
        <v>45229</v>
      </c>
      <c r="C121" s="1" t="n">
        <v>45845</v>
      </c>
      <c r="D121" t="inlineStr">
        <is>
          <t>STOCKHOLMS LÄN</t>
        </is>
      </c>
      <c r="E121" t="inlineStr">
        <is>
          <t>NYKVARN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54583-2023</t>
        </is>
      </c>
      <c r="B122" s="1" t="n">
        <v>45233</v>
      </c>
      <c r="C122" s="1" t="n">
        <v>45845</v>
      </c>
      <c r="D122" t="inlineStr">
        <is>
          <t>STOCKHOLMS LÄN</t>
        </is>
      </c>
      <c r="E122" t="inlineStr">
        <is>
          <t>NYKVARN</t>
        </is>
      </c>
      <c r="F122" t="inlineStr">
        <is>
          <t>Kommuner</t>
        </is>
      </c>
      <c r="G122" t="n">
        <v>8.4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54670-2023</t>
        </is>
      </c>
      <c r="B123" s="1" t="n">
        <v>45235</v>
      </c>
      <c r="C123" s="1" t="n">
        <v>45845</v>
      </c>
      <c r="D123" t="inlineStr">
        <is>
          <t>STOCKHOLMS LÄN</t>
        </is>
      </c>
      <c r="E123" t="inlineStr">
        <is>
          <t>NYKVARN</t>
        </is>
      </c>
      <c r="F123" t="inlineStr">
        <is>
          <t>Kommuner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56639-2023</t>
        </is>
      </c>
      <c r="B124" s="1" t="n">
        <v>45243</v>
      </c>
      <c r="C124" s="1" t="n">
        <v>45845</v>
      </c>
      <c r="D124" t="inlineStr">
        <is>
          <t>STOCKHOLMS LÄN</t>
        </is>
      </c>
      <c r="E124" t="inlineStr">
        <is>
          <t>NYKVARN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63400-2023</t>
        </is>
      </c>
      <c r="B125" s="1" t="n">
        <v>45274</v>
      </c>
      <c r="C125" s="1" t="n">
        <v>45845</v>
      </c>
      <c r="D125" t="inlineStr">
        <is>
          <t>STOCKHOLMS LÄN</t>
        </is>
      </c>
      <c r="E125" t="inlineStr">
        <is>
          <t>NYKVARN</t>
        </is>
      </c>
      <c r="F125" t="inlineStr">
        <is>
          <t>Kommuner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63586-2023</t>
        </is>
      </c>
      <c r="B126" s="1" t="n">
        <v>45275</v>
      </c>
      <c r="C126" s="1" t="n">
        <v>45845</v>
      </c>
      <c r="D126" t="inlineStr">
        <is>
          <t>STOCKHOLMS LÄN</t>
        </is>
      </c>
      <c r="E126" t="inlineStr">
        <is>
          <t>NYKVARN</t>
        </is>
      </c>
      <c r="F126" t="inlineStr">
        <is>
          <t>Kommuner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63592-2023</t>
        </is>
      </c>
      <c r="B127" s="1" t="n">
        <v>45275</v>
      </c>
      <c r="C127" s="1" t="n">
        <v>45845</v>
      </c>
      <c r="D127" t="inlineStr">
        <is>
          <t>STOCKHOLMS LÄN</t>
        </is>
      </c>
      <c r="E127" t="inlineStr">
        <is>
          <t>NYKVARN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2177-2024</t>
        </is>
      </c>
      <c r="B128" s="1" t="n">
        <v>45309</v>
      </c>
      <c r="C128" s="1" t="n">
        <v>45845</v>
      </c>
      <c r="D128" t="inlineStr">
        <is>
          <t>STOCKHOLMS LÄN</t>
        </is>
      </c>
      <c r="E128" t="inlineStr">
        <is>
          <t>NYKVARN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2172-2024</t>
        </is>
      </c>
      <c r="B129" s="1" t="n">
        <v>45309</v>
      </c>
      <c r="C129" s="1" t="n">
        <v>45845</v>
      </c>
      <c r="D129" t="inlineStr">
        <is>
          <t>STOCKHOLMS LÄN</t>
        </is>
      </c>
      <c r="E129" t="inlineStr">
        <is>
          <t>NYKVARN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10341-2024</t>
        </is>
      </c>
      <c r="B130" s="1" t="n">
        <v>45365</v>
      </c>
      <c r="C130" s="1" t="n">
        <v>45845</v>
      </c>
      <c r="D130" t="inlineStr">
        <is>
          <t>STOCKHOLMS LÄN</t>
        </is>
      </c>
      <c r="E130" t="inlineStr">
        <is>
          <t>NYKVARN</t>
        </is>
      </c>
      <c r="F130" t="inlineStr">
        <is>
          <t>Sveaskog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14853-2024</t>
        </is>
      </c>
      <c r="B131" s="1" t="n">
        <v>45398</v>
      </c>
      <c r="C131" s="1" t="n">
        <v>45845</v>
      </c>
      <c r="D131" t="inlineStr">
        <is>
          <t>STOCKHOLMS LÄN</t>
        </is>
      </c>
      <c r="E131" t="inlineStr">
        <is>
          <t>NYKVARN</t>
        </is>
      </c>
      <c r="F131" t="inlineStr">
        <is>
          <t>Sveaskog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18442-2024</t>
        </is>
      </c>
      <c r="B132" s="1" t="n">
        <v>45425</v>
      </c>
      <c r="C132" s="1" t="n">
        <v>45845</v>
      </c>
      <c r="D132" t="inlineStr">
        <is>
          <t>STOCKHOLMS LÄN</t>
        </is>
      </c>
      <c r="E132" t="inlineStr">
        <is>
          <t>NYKVARN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18824-2024</t>
        </is>
      </c>
      <c r="B133" s="1" t="n">
        <v>45426</v>
      </c>
      <c r="C133" s="1" t="n">
        <v>45845</v>
      </c>
      <c r="D133" t="inlineStr">
        <is>
          <t>STOCKHOLMS LÄN</t>
        </is>
      </c>
      <c r="E133" t="inlineStr">
        <is>
          <t>NYKVARN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18827-2024</t>
        </is>
      </c>
      <c r="B134" s="1" t="n">
        <v>45426</v>
      </c>
      <c r="C134" s="1" t="n">
        <v>45845</v>
      </c>
      <c r="D134" t="inlineStr">
        <is>
          <t>STOCKHOLMS LÄN</t>
        </is>
      </c>
      <c r="E134" t="inlineStr">
        <is>
          <t>NYKVARN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18848-2024</t>
        </is>
      </c>
      <c r="B135" s="1" t="n">
        <v>45426</v>
      </c>
      <c r="C135" s="1" t="n">
        <v>45845</v>
      </c>
      <c r="D135" t="inlineStr">
        <is>
          <t>STOCKHOLMS LÄN</t>
        </is>
      </c>
      <c r="E135" t="inlineStr">
        <is>
          <t>NYKVARN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18846-2024</t>
        </is>
      </c>
      <c r="B136" s="1" t="n">
        <v>45426</v>
      </c>
      <c r="C136" s="1" t="n">
        <v>45845</v>
      </c>
      <c r="D136" t="inlineStr">
        <is>
          <t>STOCKHOLMS LÄN</t>
        </is>
      </c>
      <c r="E136" t="inlineStr">
        <is>
          <t>NYKVARN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21128-2024</t>
        </is>
      </c>
      <c r="B137" s="1" t="n">
        <v>45440</v>
      </c>
      <c r="C137" s="1" t="n">
        <v>45845</v>
      </c>
      <c r="D137" t="inlineStr">
        <is>
          <t>STOCKHOLMS LÄN</t>
        </is>
      </c>
      <c r="E137" t="inlineStr">
        <is>
          <t>NYKVARN</t>
        </is>
      </c>
      <c r="F137" t="inlineStr">
        <is>
          <t>Kyrkan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30594-2024</t>
        </is>
      </c>
      <c r="B138" s="1" t="n">
        <v>45493</v>
      </c>
      <c r="C138" s="1" t="n">
        <v>45845</v>
      </c>
      <c r="D138" t="inlineStr">
        <is>
          <t>STOCKHOLMS LÄN</t>
        </is>
      </c>
      <c r="E138" t="inlineStr">
        <is>
          <t>NYKVARN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31394-2024</t>
        </is>
      </c>
      <c r="B139" s="1" t="n">
        <v>45505</v>
      </c>
      <c r="C139" s="1" t="n">
        <v>45845</v>
      </c>
      <c r="D139" t="inlineStr">
        <is>
          <t>STOCKHOLMS LÄN</t>
        </is>
      </c>
      <c r="E139" t="inlineStr">
        <is>
          <t>NYKVARN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31397-2024</t>
        </is>
      </c>
      <c r="B140" s="1" t="n">
        <v>45505</v>
      </c>
      <c r="C140" s="1" t="n">
        <v>45845</v>
      </c>
      <c r="D140" t="inlineStr">
        <is>
          <t>STOCKHOLMS LÄN</t>
        </is>
      </c>
      <c r="E140" t="inlineStr">
        <is>
          <t>NYKVARN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31393-2024</t>
        </is>
      </c>
      <c r="B141" s="1" t="n">
        <v>45505</v>
      </c>
      <c r="C141" s="1" t="n">
        <v>45845</v>
      </c>
      <c r="D141" t="inlineStr">
        <is>
          <t>STOCKHOLMS LÄN</t>
        </is>
      </c>
      <c r="E141" t="inlineStr">
        <is>
          <t>NYKVARN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33049-2024</t>
        </is>
      </c>
      <c r="B142" s="1" t="n">
        <v>45517</v>
      </c>
      <c r="C142" s="1" t="n">
        <v>45845</v>
      </c>
      <c r="D142" t="inlineStr">
        <is>
          <t>STOCKHOLMS LÄN</t>
        </is>
      </c>
      <c r="E142" t="inlineStr">
        <is>
          <t>NYKVARN</t>
        </is>
      </c>
      <c r="G142" t="n">
        <v>9.199999999999999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36821-2024</t>
        </is>
      </c>
      <c r="B143" s="1" t="n">
        <v>45538</v>
      </c>
      <c r="C143" s="1" t="n">
        <v>45845</v>
      </c>
      <c r="D143" t="inlineStr">
        <is>
          <t>STOCKHOLMS LÄN</t>
        </is>
      </c>
      <c r="E143" t="inlineStr">
        <is>
          <t>NYKVARN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36818-2024</t>
        </is>
      </c>
      <c r="B144" s="1" t="n">
        <v>45538</v>
      </c>
      <c r="C144" s="1" t="n">
        <v>45845</v>
      </c>
      <c r="D144" t="inlineStr">
        <is>
          <t>STOCKHOLMS LÄN</t>
        </is>
      </c>
      <c r="E144" t="inlineStr">
        <is>
          <t>NYKVARN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36957-2024</t>
        </is>
      </c>
      <c r="B145" s="1" t="n">
        <v>45538</v>
      </c>
      <c r="C145" s="1" t="n">
        <v>45845</v>
      </c>
      <c r="D145" t="inlineStr">
        <is>
          <t>STOCKHOLMS LÄN</t>
        </is>
      </c>
      <c r="E145" t="inlineStr">
        <is>
          <t>NYKVARN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37601-2024</t>
        </is>
      </c>
      <c r="B146" s="1" t="n">
        <v>45541</v>
      </c>
      <c r="C146" s="1" t="n">
        <v>45845</v>
      </c>
      <c r="D146" t="inlineStr">
        <is>
          <t>STOCKHOLMS LÄN</t>
        </is>
      </c>
      <c r="E146" t="inlineStr">
        <is>
          <t>NYKVARN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45817-2024</t>
        </is>
      </c>
      <c r="B147" s="1" t="n">
        <v>45579</v>
      </c>
      <c r="C147" s="1" t="n">
        <v>45845</v>
      </c>
      <c r="D147" t="inlineStr">
        <is>
          <t>STOCKHOLMS LÄN</t>
        </is>
      </c>
      <c r="E147" t="inlineStr">
        <is>
          <t>NYKVARN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50811-2024</t>
        </is>
      </c>
      <c r="B148" s="1" t="n">
        <v>45602</v>
      </c>
      <c r="C148" s="1" t="n">
        <v>45845</v>
      </c>
      <c r="D148" t="inlineStr">
        <is>
          <t>STOCKHOLMS LÄN</t>
        </is>
      </c>
      <c r="E148" t="inlineStr">
        <is>
          <t>NYKVARN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50814-2024</t>
        </is>
      </c>
      <c r="B149" s="1" t="n">
        <v>45602</v>
      </c>
      <c r="C149" s="1" t="n">
        <v>45845</v>
      </c>
      <c r="D149" t="inlineStr">
        <is>
          <t>STOCKHOLMS LÄN</t>
        </is>
      </c>
      <c r="E149" t="inlineStr">
        <is>
          <t>NYKVARN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51813-2024</t>
        </is>
      </c>
      <c r="B150" s="1" t="n">
        <v>45607</v>
      </c>
      <c r="C150" s="1" t="n">
        <v>45845</v>
      </c>
      <c r="D150" t="inlineStr">
        <is>
          <t>STOCKHOLMS LÄN</t>
        </is>
      </c>
      <c r="E150" t="inlineStr">
        <is>
          <t>NYKVARN</t>
        </is>
      </c>
      <c r="F150" t="inlineStr">
        <is>
          <t>Sveaskog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53408-2024</t>
        </is>
      </c>
      <c r="B151" s="1" t="n">
        <v>45614</v>
      </c>
      <c r="C151" s="1" t="n">
        <v>45845</v>
      </c>
      <c r="D151" t="inlineStr">
        <is>
          <t>STOCKHOLMS LÄN</t>
        </is>
      </c>
      <c r="E151" t="inlineStr">
        <is>
          <t>NYKVARN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57389-2024</t>
        </is>
      </c>
      <c r="B152" s="1" t="n">
        <v>45629</v>
      </c>
      <c r="C152" s="1" t="n">
        <v>45845</v>
      </c>
      <c r="D152" t="inlineStr">
        <is>
          <t>STOCKHOLMS LÄN</t>
        </is>
      </c>
      <c r="E152" t="inlineStr">
        <is>
          <t>NYKVARN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57428-2024</t>
        </is>
      </c>
      <c r="B153" s="1" t="n">
        <v>45629</v>
      </c>
      <c r="C153" s="1" t="n">
        <v>45845</v>
      </c>
      <c r="D153" t="inlineStr">
        <is>
          <t>STOCKHOLMS LÄN</t>
        </is>
      </c>
      <c r="E153" t="inlineStr">
        <is>
          <t>NYKVARN</t>
        </is>
      </c>
      <c r="G153" t="n">
        <v>10.9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10861-2025</t>
        </is>
      </c>
      <c r="B154" s="1" t="n">
        <v>45722</v>
      </c>
      <c r="C154" s="1" t="n">
        <v>45845</v>
      </c>
      <c r="D154" t="inlineStr">
        <is>
          <t>STOCKHOLMS LÄN</t>
        </is>
      </c>
      <c r="E154" t="inlineStr">
        <is>
          <t>NYKVARN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11283-2025</t>
        </is>
      </c>
      <c r="B155" s="1" t="n">
        <v>45726</v>
      </c>
      <c r="C155" s="1" t="n">
        <v>45845</v>
      </c>
      <c r="D155" t="inlineStr">
        <is>
          <t>STOCKHOLMS LÄN</t>
        </is>
      </c>
      <c r="E155" t="inlineStr">
        <is>
          <t>NYKVARN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17328-2025</t>
        </is>
      </c>
      <c r="B156" s="1" t="n">
        <v>45756</v>
      </c>
      <c r="C156" s="1" t="n">
        <v>45845</v>
      </c>
      <c r="D156" t="inlineStr">
        <is>
          <t>STOCKHOLMS LÄN</t>
        </is>
      </c>
      <c r="E156" t="inlineStr">
        <is>
          <t>NYKVARN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18222-2025</t>
        </is>
      </c>
      <c r="B157" s="1" t="n">
        <v>45761</v>
      </c>
      <c r="C157" s="1" t="n">
        <v>45845</v>
      </c>
      <c r="D157" t="inlineStr">
        <is>
          <t>STOCKHOLMS LÄN</t>
        </is>
      </c>
      <c r="E157" t="inlineStr">
        <is>
          <t>NYKVARN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23284-2025</t>
        </is>
      </c>
      <c r="B158" s="1" t="n">
        <v>45791</v>
      </c>
      <c r="C158" s="1" t="n">
        <v>45845</v>
      </c>
      <c r="D158" t="inlineStr">
        <is>
          <t>STOCKHOLMS LÄN</t>
        </is>
      </c>
      <c r="E158" t="inlineStr">
        <is>
          <t>NYKVARN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23655-2025</t>
        </is>
      </c>
      <c r="B159" s="1" t="n">
        <v>45792</v>
      </c>
      <c r="C159" s="1" t="n">
        <v>45845</v>
      </c>
      <c r="D159" t="inlineStr">
        <is>
          <t>STOCKHOLMS LÄN</t>
        </is>
      </c>
      <c r="E159" t="inlineStr">
        <is>
          <t>NYKVARN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26755-2025</t>
        </is>
      </c>
      <c r="B160" s="1" t="n">
        <v>45810</v>
      </c>
      <c r="C160" s="1" t="n">
        <v>45845</v>
      </c>
      <c r="D160" t="inlineStr">
        <is>
          <t>STOCKHOLMS LÄN</t>
        </is>
      </c>
      <c r="E160" t="inlineStr">
        <is>
          <t>NYKVARN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26763-2025</t>
        </is>
      </c>
      <c r="B161" s="1" t="n">
        <v>45810</v>
      </c>
      <c r="C161" s="1" t="n">
        <v>45845</v>
      </c>
      <c r="D161" t="inlineStr">
        <is>
          <t>STOCKHOLMS LÄN</t>
        </is>
      </c>
      <c r="E161" t="inlineStr">
        <is>
          <t>NYKVARN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28598-2025</t>
        </is>
      </c>
      <c r="B162" s="1" t="n">
        <v>45819</v>
      </c>
      <c r="C162" s="1" t="n">
        <v>45845</v>
      </c>
      <c r="D162" t="inlineStr">
        <is>
          <t>STOCKHOLMS LÄN</t>
        </is>
      </c>
      <c r="E162" t="inlineStr">
        <is>
          <t>NYKVARN</t>
        </is>
      </c>
      <c r="G162" t="n">
        <v>10.4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>
      <c r="A163" t="inlineStr">
        <is>
          <t>A 28607-2025</t>
        </is>
      </c>
      <c r="B163" s="1" t="n">
        <v>45819</v>
      </c>
      <c r="C163" s="1" t="n">
        <v>45845</v>
      </c>
      <c r="D163" t="inlineStr">
        <is>
          <t>STOCKHOLMS LÄN</t>
        </is>
      </c>
      <c r="E163" t="inlineStr">
        <is>
          <t>NYKVARN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2025-07-07T19:40:09Z</dcterms:created>
  <dcterms:modified xmlns:dcterms="http://purl.org/dc/terms/" xmlns:xsi="http://www.w3.org/2001/XMLSchema-instance" xsi:type="dcterms:W3CDTF">2025-07-07T19:40:09Z</dcterms:modified>
</cp:coreProperties>
</file>