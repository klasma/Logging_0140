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46232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46232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46232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46232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46232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46232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46232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46232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59342-2025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46232</v>
      </c>
      <c r="F10" t="inlineStr">
        <is>
          <t>STOCKHOLMS LÄN</t>
        </is>
      </c>
      <c r="G10" t="inlineStr">
        <is>
          <t>NYKVARN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HYPERLINK("https://klasma.github.io/Logging_0140/artfynd/A 59342-2025 artfynd.xlsx", "A 59342-2025")</f>
        <v/>
      </c>
      <c r="X10">
        <f>HYPERLINK("https://klasma.github.io/Logging_0140/kartor/A 59342-2025 karta.png", "A 59342-2025")</f>
        <v/>
      </c>
      <c r="Y10">
        <f>HYPERLINK("https://klasma.github.io/Logging_0140/kartor_geotiff/A 59342-2025 georefererad karta.tif", "A 59342-2025")</f>
        <v/>
      </c>
      <c r="AA10">
        <f>HYPERLINK("https://klasma.github.io/Logging_0140/klagomål/A 59342-2025 FSC-klagomål.docx", "A 59342-2025")</f>
        <v/>
      </c>
      <c r="AB10">
        <f>HYPERLINK("https://klasma.github.io/Logging_0140/klagomålsmail/A 59342-2025 FSC-klagomål mail.docx", "A 59342-2025")</f>
        <v/>
      </c>
      <c r="AC10">
        <f>HYPERLINK("https://klasma.github.io/Logging_0140/tillsyn/A 59342-2025 tillsynsbegäran.docx", "A 59342-2025")</f>
        <v/>
      </c>
      <c r="AD10">
        <f>HYPERLINK("https://klasma.github.io/Logging_0140/tillsynsmail/A 59342-2025 tillsynsbegäran mail.docx", "A 59342-2025")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46232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Skogsödla</t>
        </is>
      </c>
      <c r="W11">
        <f>HYPERLINK("https://klasma.github.io/Logging_0140/artfynd/A 15912-2026 artfynd.xlsx", "A 15912-2026")</f>
        <v/>
      </c>
      <c r="X11">
        <f>HYPERLINK("https://klasma.github.io/Logging_0140/kartor/A 15912-2026 karta.png", "A 15912-2026")</f>
        <v/>
      </c>
      <c r="Y11">
        <f>HYPERLINK("https://klasma.github.io/Logging_0140/kartor_geotiff/A 15912-2026 georefererad karta.tif", "A 15912-2026")</f>
        <v/>
      </c>
      <c r="AA11">
        <f>HYPERLINK("https://klasma.github.io/Logging_0140/klagomål/A 15912-2026 FSC-klagomål.docx", "A 15912-2026")</f>
        <v/>
      </c>
      <c r="AB11">
        <f>HYPERLINK("https://klasma.github.io/Logging_0140/klagomålsmail/A 15912-2026 FSC-klagomål mail.docx", "A 15912-2026")</f>
        <v/>
      </c>
      <c r="AC11">
        <f>HYPERLINK("https://klasma.github.io/Logging_0140/tillsyn/A 15912-2026 tillsynsbegäran.docx", "A 15912-2026")</f>
        <v/>
      </c>
      <c r="AD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46232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Mattlummer</t>
        </is>
      </c>
      <c r="W12">
        <f>HYPERLINK("https://klasma.github.io/Logging_0140/artfynd/A 17009-2026 artfynd.xlsx", "A 17009-2026")</f>
        <v/>
      </c>
      <c r="X12">
        <f>HYPERLINK("https://klasma.github.io/Logging_0140/kartor/A 17009-2026 karta.png", "A 17009-2026")</f>
        <v/>
      </c>
      <c r="Y12">
        <f>HYPERLINK("https://klasma.github.io/Logging_0140/kartor_geotiff/A 17009-2026 georefererad karta.tif", "A 17009-2026")</f>
        <v/>
      </c>
      <c r="AA12">
        <f>HYPERLINK("https://klasma.github.io/Logging_0140/klagomål/A 17009-2026 FSC-klagomål.docx", "A 17009-2026")</f>
        <v/>
      </c>
      <c r="AB12">
        <f>HYPERLINK("https://klasma.github.io/Logging_0140/klagomålsmail/A 17009-2026 FSC-klagomål mail.docx", "A 17009-2026")</f>
        <v/>
      </c>
      <c r="AC12">
        <f>HYPERLINK("https://klasma.github.io/Logging_0140/tillsyn/A 17009-2026 tillsynsbegäran.docx", "A 17009-2026")</f>
        <v/>
      </c>
      <c r="AD12">
        <f>HYPERLINK("https://klasma.github.io/Logging_0140/tillsynsmail/A 17009-2026 tillsynsbegäran mail.docx", "A 17009-2026")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46232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Röd glada</t>
        </is>
      </c>
      <c r="W13">
        <f>HYPERLINK("https://klasma.github.io/Logging_0140/artfynd/A 37597-2024 artfynd.xlsx", "A 37597-2024")</f>
        <v/>
      </c>
      <c r="X13">
        <f>HYPERLINK("https://klasma.github.io/Logging_0140/kartor/A 37597-2024 karta.png", "A 37597-2024")</f>
        <v/>
      </c>
      <c r="Y13">
        <f>HYPERLINK("https://klasma.github.io/Logging_0140/kartor_geotiff/A 37597-2024 georefererad karta.tif", "A 37597-2024")</f>
        <v/>
      </c>
      <c r="AA13">
        <f>HYPERLINK("https://klasma.github.io/Logging_0140/klagomål/A 37597-2024 FSC-klagomål.docx", "A 37597-2024")</f>
        <v/>
      </c>
      <c r="AB13">
        <f>HYPERLINK("https://klasma.github.io/Logging_0140/klagomålsmail/A 37597-2024 FSC-klagomål mail.docx", "A 37597-2024")</f>
        <v/>
      </c>
      <c r="AC13">
        <f>HYPERLINK("https://klasma.github.io/Logging_0140/tillsyn/A 37597-2024 tillsynsbegäran.docx", "A 37597-2024")</f>
        <v/>
      </c>
      <c r="AD13">
        <f>HYPERLINK("https://klasma.github.io/Logging_0140/tillsynsmail/A 37597-2024 tillsynsbegäran mail.docx", "A 37597-2024")</f>
        <v/>
      </c>
      <c r="AE13">
        <f>HYPERLINK("https://klasma.github.io/Logging_0140/fåglar/A 37597-2024 prioriterade fågelarter.docx", "A 37597-2024")</f>
        <v/>
      </c>
    </row>
    <row r="14" ht="15" customHeight="1">
      <c r="A14" t="inlineStr">
        <is>
          <t>A 39539-2023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45167</v>
      </c>
      <c r="E14" s="1" t="n">
        <v>46232</v>
      </c>
      <c r="F14" t="inlineStr">
        <is>
          <t>STOCKHOLMS LÄN</t>
        </is>
      </c>
      <c r="G14" t="inlineStr">
        <is>
          <t>NYKVARN</t>
        </is>
      </c>
      <c r="I14" t="n">
        <v>2.3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HYPERLINK("https://klasma.github.io/Logging_0140/artfynd/A 39539-2023 artfynd.xlsx", "A 39539-2023")</f>
        <v/>
      </c>
      <c r="X14">
        <f>HYPERLINK("https://klasma.github.io/Logging_0140/kartor/A 39539-2023 karta.png", "A 39539-2023")</f>
        <v/>
      </c>
      <c r="Y14">
        <f>HYPERLINK("https://klasma.github.io/Logging_0140/kartor_geotiff/A 39539-2023 georefererad karta.tif", "A 39539-2023")</f>
        <v/>
      </c>
      <c r="AA14">
        <f>HYPERLINK("https://klasma.github.io/Logging_0140/klagomål/A 39539-2023 FSC-klagomål.docx", "A 39539-2023")</f>
        <v/>
      </c>
      <c r="AB14">
        <f>HYPERLINK("https://klasma.github.io/Logging_0140/klagomålsmail/A 39539-2023 FSC-klagomål mail.docx", "A 39539-2023")</f>
        <v/>
      </c>
      <c r="AC14">
        <f>HYPERLINK("https://klasma.github.io/Logging_0140/tillsyn/A 39539-2023 tillsynsbegäran.docx", "A 39539-2023")</f>
        <v/>
      </c>
      <c r="AD14">
        <f>HYPERLINK("https://klasma.github.io/Logging_0140/tillsynsmail/A 39539-2023 tillsynsbegäran mail.docx", "A 39539-2023")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46232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46232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HYPERLINK("https://klasma.github.io/Logging_0140/artfynd/A 8285-2022 artfynd.xlsx", "A 8285-2022")</f>
        <v/>
      </c>
      <c r="X16">
        <f>HYPERLINK("https://klasma.github.io/Logging_0140/kartor/A 8285-2022 karta.png", "A 8285-2022")</f>
        <v/>
      </c>
      <c r="Y16">
        <f>HYPERLINK("https://klasma.github.io/Logging_0140/kartor_geotiff/A 8285-2022 georefererad karta.tif", "A 8285-2022")</f>
        <v/>
      </c>
      <c r="AA16">
        <f>HYPERLINK("https://klasma.github.io/Logging_0140/klagomål/A 8285-2022 FSC-klagomål.docx", "A 8285-2022")</f>
        <v/>
      </c>
      <c r="AB16">
        <f>HYPERLINK("https://klasma.github.io/Logging_0140/klagomålsmail/A 8285-2022 FSC-klagomål mail.docx", "A 8285-2022")</f>
        <v/>
      </c>
      <c r="AC16">
        <f>HYPERLINK("https://klasma.github.io/Logging_0140/tillsyn/A 8285-2022 tillsynsbegäran.docx", "A 8285-2022")</f>
        <v/>
      </c>
      <c r="AD16">
        <f>HYPERLINK("https://klasma.github.io/Logging_0140/tillsynsmail/A 8285-2022 tillsynsbegäran mail.docx", "A 8285-2022")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46232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Kopparödla</t>
        </is>
      </c>
      <c r="W17">
        <f>HYPERLINK("https://klasma.github.io/Logging_0140/artfynd/A 24790-2026 artfynd.xlsx", "A 24790-2026")</f>
        <v/>
      </c>
      <c r="X17">
        <f>HYPERLINK("https://klasma.github.io/Logging_0140/kartor/A 24790-2026 karta.png", "A 24790-2026")</f>
        <v/>
      </c>
      <c r="Y17">
        <f>HYPERLINK("https://klasma.github.io/Logging_0140/kartor_geotiff/A 24790-2026 georefererad karta.tif", "A 24790-2026")</f>
        <v/>
      </c>
      <c r="AA17">
        <f>HYPERLINK("https://klasma.github.io/Logging_0140/klagomål/A 24790-2026 FSC-klagomål.docx", "A 24790-2026")</f>
        <v/>
      </c>
      <c r="AB17">
        <f>HYPERLINK("https://klasma.github.io/Logging_0140/klagomålsmail/A 24790-2026 FSC-klagomål mail.docx", "A 24790-2026")</f>
        <v/>
      </c>
      <c r="AC17">
        <f>HYPERLINK("https://klasma.github.io/Logging_0140/tillsyn/A 24790-2026 tillsynsbegäran.docx", "A 24790-2026")</f>
        <v/>
      </c>
      <c r="AD17">
        <f>HYPERLINK("https://klasma.github.io/Logging_0140/tillsynsmail/A 24790-2026 tillsynsbegäran mail.docx", "A 24790-2026")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46232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46232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46232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46232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46232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46232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46232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46232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46232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46232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46232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46232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46232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46232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46232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46232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46232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52878-2022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44872</v>
      </c>
      <c r="E35" s="1" t="n">
        <v>46232</v>
      </c>
      <c r="F35" t="inlineStr">
        <is>
          <t>STOCKHOLMS LÄN</t>
        </is>
      </c>
      <c r="G35" t="inlineStr">
        <is>
          <t>NYKVARN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44969-2022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46232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46232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51787-2021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46232</v>
      </c>
      <c r="F38" t="inlineStr">
        <is>
          <t>STOCKHOLMS LÄN</t>
        </is>
      </c>
      <c r="G38" t="inlineStr">
        <is>
          <t>NYKVARN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38535-2025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45884</v>
      </c>
      <c r="E39" s="1" t="n">
        <v>46232</v>
      </c>
      <c r="F39" t="inlineStr">
        <is>
          <t>STOCKHOLMS LÄN</t>
        </is>
      </c>
      <c r="G39" t="inlineStr">
        <is>
          <t>NYKVARN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46232</v>
      </c>
      <c r="F40" t="inlineStr">
        <is>
          <t>STOCKHOLMS LÄN</t>
        </is>
      </c>
      <c r="G40" t="inlineStr">
        <is>
          <t>NYKVARN</t>
        </is>
      </c>
      <c r="H40" t="inlineStr">
        <is>
          <t>Kyrkan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46232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32555-2023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45121</v>
      </c>
      <c r="E42" s="1" t="n">
        <v>46232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46232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46232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44947-2021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44438</v>
      </c>
      <c r="E45" s="1" t="n">
        <v>46232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11.3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46232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45989</v>
      </c>
      <c r="E47" s="1" t="n">
        <v>46232</v>
      </c>
      <c r="F47" t="inlineStr">
        <is>
          <t>STOCKHOLMS LÄN</t>
        </is>
      </c>
      <c r="G47" t="inlineStr">
        <is>
          <t>NYKVARN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46232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41681-2023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45173</v>
      </c>
      <c r="E49" s="1" t="n">
        <v>46232</v>
      </c>
      <c r="F49" t="inlineStr">
        <is>
          <t>STOCKHOLMS LÄN</t>
        </is>
      </c>
      <c r="G49" t="inlineStr">
        <is>
          <t>NYKVARN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46232</v>
      </c>
      <c r="F50" t="inlineStr">
        <is>
          <t>STOCKHOLMS LÄN</t>
        </is>
      </c>
      <c r="G50" t="inlineStr">
        <is>
          <t>NYKVARN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46232</v>
      </c>
      <c r="F51" t="inlineStr">
        <is>
          <t>STOCKHOLMS LÄN</t>
        </is>
      </c>
      <c r="G51" t="inlineStr">
        <is>
          <t>NYKVARN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46232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45235</v>
      </c>
      <c r="E53" s="1" t="n">
        <v>46232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46232</v>
      </c>
      <c r="F54" t="inlineStr">
        <is>
          <t>STOCKHOLMS LÄN</t>
        </is>
      </c>
      <c r="G54" t="inlineStr">
        <is>
          <t>NYKVARN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46232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46232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46232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46232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19487-2023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45050</v>
      </c>
      <c r="E59" s="1" t="n">
        <v>46232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46232</v>
      </c>
      <c r="F60" t="inlineStr">
        <is>
          <t>STOCKHOLMS LÄN</t>
        </is>
      </c>
      <c r="G60" t="inlineStr">
        <is>
          <t>NYKVARN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46232</v>
      </c>
      <c r="F61" t="inlineStr">
        <is>
          <t>STOCKHOLMS LÄN</t>
        </is>
      </c>
      <c r="G61" t="inlineStr">
        <is>
          <t>NYKVARN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63586-2023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46232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46232</v>
      </c>
      <c r="F63" t="inlineStr">
        <is>
          <t>STOCKHOLMS LÄN</t>
        </is>
      </c>
      <c r="G63" t="inlineStr">
        <is>
          <t>NYKVARN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44730</v>
      </c>
      <c r="E64" s="1" t="n">
        <v>46232</v>
      </c>
      <c r="F64" t="inlineStr">
        <is>
          <t>STOCKHOLMS LÄN</t>
        </is>
      </c>
      <c r="G64" t="inlineStr">
        <is>
          <t>NYKVARN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71540-2021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44540</v>
      </c>
      <c r="E65" s="1" t="n">
        <v>46232</v>
      </c>
      <c r="F65" t="inlineStr">
        <is>
          <t>STOCKHOLMS LÄN</t>
        </is>
      </c>
      <c r="G65" t="inlineStr">
        <is>
          <t>NYKVARN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46232</v>
      </c>
      <c r="F66" t="inlineStr">
        <is>
          <t>STOCKHOLMS LÄN</t>
        </is>
      </c>
      <c r="G66" t="inlineStr">
        <is>
          <t>NYKVARN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46232</v>
      </c>
      <c r="F67" t="inlineStr">
        <is>
          <t>STOCKHOLMS LÄN</t>
        </is>
      </c>
      <c r="G67" t="inlineStr">
        <is>
          <t>NYKVARN</t>
        </is>
      </c>
      <c r="H67" t="inlineStr">
        <is>
          <t>Allmännings- och besparingsskogar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19903-2023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46232</v>
      </c>
      <c r="F68" t="inlineStr">
        <is>
          <t>STOCKHOLMS LÄN</t>
        </is>
      </c>
      <c r="G68" t="inlineStr">
        <is>
          <t>NYKVARN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46232</v>
      </c>
      <c r="F69" t="inlineStr">
        <is>
          <t>STOCKHOLMS LÄN</t>
        </is>
      </c>
      <c r="G69" t="inlineStr">
        <is>
          <t>NYKVARN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45607</v>
      </c>
      <c r="E70" s="1" t="n">
        <v>46232</v>
      </c>
      <c r="F70" t="inlineStr">
        <is>
          <t>STOCKHOLMS LÄN</t>
        </is>
      </c>
      <c r="G70" t="inlineStr">
        <is>
          <t>NYKVARN</t>
        </is>
      </c>
      <c r="H70" t="inlineStr">
        <is>
          <t>Sveaskog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24796-2026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46171</v>
      </c>
      <c r="E71" s="1" t="n">
        <v>46232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46232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45874</v>
      </c>
      <c r="E73" s="1" t="n">
        <v>46232</v>
      </c>
      <c r="F73" t="inlineStr">
        <is>
          <t>STOCKHOLMS LÄN</t>
        </is>
      </c>
      <c r="G73" t="inlineStr">
        <is>
          <t>NYKVARN</t>
        </is>
      </c>
      <c r="I73" t="n">
        <v>10.6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63592-2023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45275</v>
      </c>
      <c r="E74" s="1" t="n">
        <v>46232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31740-2026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46232</v>
      </c>
      <c r="F75" t="inlineStr">
        <is>
          <t>STOCKHOLMS LÄN</t>
        </is>
      </c>
      <c r="G75" t="inlineStr">
        <is>
          <t>NYKVARN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46232</v>
      </c>
      <c r="F76" t="inlineStr">
        <is>
          <t>STOCKHOLMS LÄN</t>
        </is>
      </c>
      <c r="G76" t="inlineStr">
        <is>
          <t>NYKVARN</t>
        </is>
      </c>
      <c r="I76" t="n">
        <v>9.300000000000001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46232</v>
      </c>
      <c r="F77" t="inlineStr">
        <is>
          <t>STOCKHOLMS LÄN</t>
        </is>
      </c>
      <c r="G77" t="inlineStr">
        <is>
          <t>NYKVARN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45761</v>
      </c>
      <c r="E78" s="1" t="n">
        <v>46232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46232</v>
      </c>
      <c r="F79" t="inlineStr">
        <is>
          <t>STOCKHOLMS LÄN</t>
        </is>
      </c>
      <c r="G79" t="inlineStr">
        <is>
          <t>NYKVARN</t>
        </is>
      </c>
      <c r="H79" t="inlineStr">
        <is>
          <t>Allmännings- och besparingsskogar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46232</v>
      </c>
      <c r="F80" t="inlineStr">
        <is>
          <t>STOCKHOLMS LÄN</t>
        </is>
      </c>
      <c r="G80" t="inlineStr">
        <is>
          <t>NYKVARN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46232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46232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46232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46232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2026-07-29T01:52:42Z</dcterms:created>
  <dcterms:modified xmlns:dcterms="http://purl.org/dc/terms/" xmlns:xsi="http://www.w3.org/2001/XMLSchema-instance" xsi:type="dcterms:W3CDTF">2026-07-29T01:52:42Z</dcterms:modified>
</cp:coreProperties>
</file>