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46309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46309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46309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46309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46309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46309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46309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23279-2025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46309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0.5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HYPERLINK("https://klasma.github.io/Logging_0140/artfynd/A 23279-2025 artfynd.xlsx", "A 23279-2025")</f>
        <v/>
      </c>
      <c r="X11">
        <f>HYPERLINK("https://klasma.github.io/Logging_0140/kartor/A 23279-2025 karta.png", "A 23279-2025")</f>
        <v/>
      </c>
      <c r="Y11">
        <f>HYPERLINK("https://klasma.github.io/Logging_0140/kartor_geotiff/A 23279-2025 georefererad karta.tif", "A 23279-2025")</f>
        <v/>
      </c>
      <c r="AA11">
        <f>HYPERLINK("https://klasma.github.io/Logging_0140/klagomål/A 23279-2025 FSC-klagomål.docx", "A 23279-2025")</f>
        <v/>
      </c>
      <c r="AB11">
        <f>HYPERLINK("https://klasma.github.io/Logging_0140/klagomålsmail/A 23279-2025 FSC-klagomål mail.docx", "A 23279-2025")</f>
        <v/>
      </c>
      <c r="AC11">
        <f>HYPERLINK("https://klasma.github.io/Logging_0140/tillsyn/A 23279-2025 tillsynsbegäran.docx", "A 23279-2025")</f>
        <v/>
      </c>
      <c r="AD11">
        <f>HYPERLINK("https://klasma.github.io/Logging_0140/tillsynsmail/A 23279-2025 tillsynsbegäran mail.docx", "A 23279-2025")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46309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11393-2022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44630</v>
      </c>
      <c r="E13" s="1" t="n">
        <v>46309</v>
      </c>
      <c r="F13" t="inlineStr">
        <is>
          <t>STOCKHOLMS LÄN</t>
        </is>
      </c>
      <c r="G13" t="inlineStr">
        <is>
          <t>NYKVARN</t>
        </is>
      </c>
      <c r="I13" t="n">
        <v>3.8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Björksplintborre</t>
        </is>
      </c>
      <c r="W13">
        <f>HYPERLINK("https://klasma.github.io/Logging_0140/artfynd/A 11393-2022 artfynd.xlsx", "A 11393-2022")</f>
        <v/>
      </c>
      <c r="X13">
        <f>HYPERLINK("https://klasma.github.io/Logging_0140/kartor/A 11393-2022 karta.png", "A 11393-2022")</f>
        <v/>
      </c>
      <c r="Y13">
        <f>HYPERLINK("https://klasma.github.io/Logging_0140/kartor_geotiff/A 11393-2022 georefererad karta.tif", "A 11393-2022")</f>
        <v/>
      </c>
      <c r="AA13">
        <f>HYPERLINK("https://klasma.github.io/Logging_0140/klagomål/A 11393-2022 FSC-klagomål.docx", "A 11393-2022")</f>
        <v/>
      </c>
      <c r="AB13">
        <f>HYPERLINK("https://klasma.github.io/Logging_0140/klagomålsmail/A 11393-2022 FSC-klagomål mail.docx", "A 11393-2022")</f>
        <v/>
      </c>
      <c r="AC13">
        <f>HYPERLINK("https://klasma.github.io/Logging_0140/tillsyn/A 11393-2022 tillsynsbegäran.docx", "A 11393-2022")</f>
        <v/>
      </c>
      <c r="AD13">
        <f>HYPERLINK("https://klasma.github.io/Logging_0140/tillsynsmail/A 11393-2022 tillsynsbegäran mail.docx", "A 11393-2022")</f>
        <v/>
      </c>
    </row>
    <row r="14" ht="15" customHeight="1">
      <c r="A14" t="inlineStr">
        <is>
          <t>A 11388-2024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45372</v>
      </c>
      <c r="E14" s="1" t="n">
        <v>46309</v>
      </c>
      <c r="F14" t="inlineStr">
        <is>
          <t>STOCKHOLMS LÄN</t>
        </is>
      </c>
      <c r="G14" t="inlineStr">
        <is>
          <t>NYKVARN</t>
        </is>
      </c>
      <c r="I14" t="n">
        <v>4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3</v>
      </c>
      <c r="U14" t="n">
        <v>3</v>
      </c>
      <c r="V14" s="2" t="inlineStr">
        <is>
          <t>Igelkott</t>
        </is>
      </c>
      <c r="W14">
        <f>HYPERLINK("https://klasma.github.io/Logging_0140/artfynd/A 11388-2024 artfynd.xlsx", "A 11388-2024")</f>
        <v/>
      </c>
      <c r="X14">
        <f>HYPERLINK("https://klasma.github.io/Logging_0140/kartor/A 11388-2024 karta.png", "A 11388-2024")</f>
        <v/>
      </c>
      <c r="Y14">
        <f>HYPERLINK("https://klasma.github.io/Logging_0140/kartor_geotiff/A 11388-2024 georefererad karta.tif", "A 11388-2024")</f>
        <v/>
      </c>
      <c r="AA14">
        <f>HYPERLINK("https://klasma.github.io/Logging_0140/klagomål/A 11388-2024 FSC-klagomål.docx", "A 11388-2024")</f>
        <v/>
      </c>
      <c r="AB14">
        <f>HYPERLINK("https://klasma.github.io/Logging_0140/klagomålsmail/A 11388-2024 FSC-klagomål mail.docx", "A 11388-2024")</f>
        <v/>
      </c>
      <c r="AC14">
        <f>HYPERLINK("https://klasma.github.io/Logging_0140/tillsyn/A 11388-2024 tillsynsbegäran.docx", "A 11388-2024")</f>
        <v/>
      </c>
      <c r="AD14">
        <f>HYPERLINK("https://klasma.github.io/Logging_0140/tillsynsmail/A 11388-2024 tillsynsbegäran mail.docx", "A 11388-2024")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46309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15912-2026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46107</v>
      </c>
      <c r="E16" s="1" t="n">
        <v>46309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12.9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Skogsödla</t>
        </is>
      </c>
      <c r="W16">
        <f>HYPERLINK("https://klasma.github.io/Logging_0140/artfynd/A 15912-2026 artfynd.xlsx", "A 15912-2026")</f>
        <v/>
      </c>
      <c r="X16">
        <f>HYPERLINK("https://klasma.github.io/Logging_0140/kartor/A 15912-2026 karta.png", "A 15912-2026")</f>
        <v/>
      </c>
      <c r="Y16">
        <f>HYPERLINK("https://klasma.github.io/Logging_0140/kartor_geotiff/A 15912-2026 georefererad karta.tif", "A 15912-2026")</f>
        <v/>
      </c>
      <c r="AA16">
        <f>HYPERLINK("https://klasma.github.io/Logging_0140/klagomål/A 15912-2026 FSC-klagomål.docx", "A 15912-2026")</f>
        <v/>
      </c>
      <c r="AB16">
        <f>HYPERLINK("https://klasma.github.io/Logging_0140/klagomålsmail/A 15912-2026 FSC-klagomål mail.docx", "A 15912-2026")</f>
        <v/>
      </c>
      <c r="AC16">
        <f>HYPERLINK("https://klasma.github.io/Logging_0140/tillsyn/A 15912-2026 tillsynsbegäran.docx", "A 15912-2026")</f>
        <v/>
      </c>
      <c r="AD16">
        <f>HYPERLINK("https://klasma.github.io/Logging_0140/tillsynsmail/A 15912-2026 tillsynsbegäran mail.docx", "A 15912-2026")</f>
        <v/>
      </c>
    </row>
    <row r="17" ht="15" customHeight="1">
      <c r="A17" t="inlineStr">
        <is>
          <t>A 25754-2023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45084</v>
      </c>
      <c r="E17" s="1" t="n">
        <v>46309</v>
      </c>
      <c r="F17" t="inlineStr">
        <is>
          <t>STOCKHOLMS LÄN</t>
        </is>
      </c>
      <c r="G17" t="inlineStr">
        <is>
          <t>NYKVARN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Trana</t>
        </is>
      </c>
      <c r="W17">
        <f>HYPERLINK("https://klasma.github.io/Logging_0140/artfynd/A 25754-2023 artfynd.xlsx", "A 25754-2023")</f>
        <v/>
      </c>
      <c r="X17">
        <f>HYPERLINK("https://klasma.github.io/Logging_0140/kartor/A 25754-2023 karta.png", "A 25754-2023")</f>
        <v/>
      </c>
      <c r="Y17">
        <f>HYPERLINK("https://klasma.github.io/Logging_0140/kartor_geotiff/A 25754-2023 georefererad karta.tif", "A 25754-2023")</f>
        <v/>
      </c>
      <c r="AA17">
        <f>HYPERLINK("https://klasma.github.io/Logging_0140/klagomål/A 25754-2023 FSC-klagomål.docx", "A 25754-2023")</f>
        <v/>
      </c>
      <c r="AB17">
        <f>HYPERLINK("https://klasma.github.io/Logging_0140/klagomålsmail/A 25754-2023 FSC-klagomål mail.docx", "A 25754-2023")</f>
        <v/>
      </c>
      <c r="AC17">
        <f>HYPERLINK("https://klasma.github.io/Logging_0140/tillsyn/A 25754-2023 tillsynsbegäran.docx", "A 25754-2023")</f>
        <v/>
      </c>
      <c r="AD17">
        <f>HYPERLINK("https://klasma.github.io/Logging_0140/tillsynsmail/A 25754-2023 tillsynsbegäran mail.docx", "A 25754-2023")</f>
        <v/>
      </c>
      <c r="AE17">
        <f>HYPERLINK("https://klasma.github.io/Logging_0140/fåglar/A 25754-2023 prioriterade fågelarter.docx", "A 25754-2023")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46309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46309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46309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37597-2024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46309</v>
      </c>
      <c r="F21" t="inlineStr">
        <is>
          <t>STOCKHOLMS LÄN</t>
        </is>
      </c>
      <c r="G21" t="inlineStr">
        <is>
          <t>NYKVARN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HYPERLINK("https://klasma.github.io/Logging_0140/artfynd/A 37597-2024 artfynd.xlsx", "A 37597-2024")</f>
        <v/>
      </c>
      <c r="X21">
        <f>HYPERLINK("https://klasma.github.io/Logging_0140/kartor/A 37597-2024 karta.png", "A 37597-2024")</f>
        <v/>
      </c>
      <c r="Y21">
        <f>HYPERLINK("https://klasma.github.io/Logging_0140/kartor_geotiff/A 37597-2024 georefererad karta.tif", "A 37597-2024")</f>
        <v/>
      </c>
      <c r="AA21">
        <f>HYPERLINK("https://klasma.github.io/Logging_0140/klagomål/A 37597-2024 FSC-klagomål.docx", "A 37597-2024")</f>
        <v/>
      </c>
      <c r="AB21">
        <f>HYPERLINK("https://klasma.github.io/Logging_0140/klagomålsmail/A 37597-2024 FSC-klagomål mail.docx", "A 37597-2024")</f>
        <v/>
      </c>
      <c r="AC21">
        <f>HYPERLINK("https://klasma.github.io/Logging_0140/tillsyn/A 37597-2024 tillsynsbegäran.docx", "A 37597-2024")</f>
        <v/>
      </c>
      <c r="AD21">
        <f>HYPERLINK("https://klasma.github.io/Logging_0140/tillsynsmail/A 37597-2024 tillsynsbegäran mail.docx", "A 37597-2024")</f>
        <v/>
      </c>
      <c r="AE21">
        <f>HYPERLINK("https://klasma.github.io/Logging_0140/fåglar/A 37597-2024 prioriterade fågelarter.docx", "A 37597-2024")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46309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46309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46309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46309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46309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46309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46309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46309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46309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46309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46309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46309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46309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46309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46309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43230-2022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44834</v>
      </c>
      <c r="E37" s="1" t="n">
        <v>46309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46309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45215</v>
      </c>
      <c r="E39" s="1" t="n">
        <v>46309</v>
      </c>
      <c r="F39" t="inlineStr">
        <is>
          <t>STOCKHOLMS LÄN</t>
        </is>
      </c>
      <c r="G39" t="inlineStr">
        <is>
          <t>NYKVARN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23655-2025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45792</v>
      </c>
      <c r="E40" s="1" t="n">
        <v>46309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19487-2023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45050</v>
      </c>
      <c r="E41" s="1" t="n">
        <v>46309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8096-2023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46309</v>
      </c>
      <c r="F42" t="inlineStr">
        <is>
          <t>STOCKHOLMS LÄN</t>
        </is>
      </c>
      <c r="G42" t="inlineStr">
        <is>
          <t>NYKVARN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45884</v>
      </c>
      <c r="E43" s="1" t="n">
        <v>46309</v>
      </c>
      <c r="F43" t="inlineStr">
        <is>
          <t>STOCKHOLMS LÄN</t>
        </is>
      </c>
      <c r="G43" t="inlineStr">
        <is>
          <t>NYKVARN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46309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46309</v>
      </c>
      <c r="F45" t="inlineStr">
        <is>
          <t>STOCKHOLMS LÄN</t>
        </is>
      </c>
      <c r="G45" t="inlineStr">
        <is>
          <t>NYKVARN</t>
        </is>
      </c>
      <c r="H45" t="inlineStr">
        <is>
          <t>Kommuner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71540-2021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44540</v>
      </c>
      <c r="E46" s="1" t="n">
        <v>46309</v>
      </c>
      <c r="F46" t="inlineStr">
        <is>
          <t>STOCKHOLMS LÄN</t>
        </is>
      </c>
      <c r="G46" t="inlineStr">
        <is>
          <t>NYKVARN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46309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46309</v>
      </c>
      <c r="F48" t="inlineStr">
        <is>
          <t>STOCKHOLMS LÄN</t>
        </is>
      </c>
      <c r="G48" t="inlineStr">
        <is>
          <t>NYKVARN</t>
        </is>
      </c>
      <c r="H48" t="inlineStr">
        <is>
          <t>Kyrkan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46309</v>
      </c>
      <c r="F49" t="inlineStr">
        <is>
          <t>STOCKHOLMS LÄN</t>
        </is>
      </c>
      <c r="G49" t="inlineStr">
        <is>
          <t>NYKVARN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45235</v>
      </c>
      <c r="E50" s="1" t="n">
        <v>46309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45989</v>
      </c>
      <c r="E51" s="1" t="n">
        <v>46309</v>
      </c>
      <c r="F51" t="inlineStr">
        <is>
          <t>STOCKHOLMS LÄN</t>
        </is>
      </c>
      <c r="G51" t="inlineStr">
        <is>
          <t>NYKVARN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45044</v>
      </c>
      <c r="E52" s="1" t="n">
        <v>46309</v>
      </c>
      <c r="F52" t="inlineStr">
        <is>
          <t>STOCKHOLMS LÄN</t>
        </is>
      </c>
      <c r="G52" t="inlineStr">
        <is>
          <t>NYKVARN</t>
        </is>
      </c>
      <c r="H52" t="inlineStr">
        <is>
          <t>Kyrkan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44713</v>
      </c>
      <c r="E53" s="1" t="n">
        <v>46309</v>
      </c>
      <c r="F53" t="inlineStr">
        <is>
          <t>STOCKHOLMS LÄN</t>
        </is>
      </c>
      <c r="G53" t="inlineStr">
        <is>
          <t>NYKVARN</t>
        </is>
      </c>
      <c r="H53" t="inlineStr">
        <is>
          <t>Allmännings- och besparingsskogar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46309</v>
      </c>
      <c r="F54" t="inlineStr">
        <is>
          <t>STOCKHOLMS LÄN</t>
        </is>
      </c>
      <c r="G54" t="inlineStr">
        <is>
          <t>NYKVARN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46309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46309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46309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63592-2023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45275</v>
      </c>
      <c r="E58" s="1" t="n">
        <v>46309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46309</v>
      </c>
      <c r="F59" t="inlineStr">
        <is>
          <t>STOCKHOLMS LÄN</t>
        </is>
      </c>
      <c r="G59" t="inlineStr">
        <is>
          <t>NYKVARN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24796-2026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46171</v>
      </c>
      <c r="E60" s="1" t="n">
        <v>46309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46309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46309</v>
      </c>
      <c r="F62" t="inlineStr">
        <is>
          <t>STOCKHOLMS LÄN</t>
        </is>
      </c>
      <c r="G62" t="inlineStr">
        <is>
          <t>NYKVARN</t>
        </is>
      </c>
      <c r="I62" t="n">
        <v>10.6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46309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46309</v>
      </c>
      <c r="F64" t="inlineStr">
        <is>
          <t>STOCKHOLMS LÄN</t>
        </is>
      </c>
      <c r="G64" t="inlineStr">
        <is>
          <t>NYKVARN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46309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46309</v>
      </c>
      <c r="F66" t="inlineStr">
        <is>
          <t>STOCKHOLMS LÄN</t>
        </is>
      </c>
      <c r="G66" t="inlineStr">
        <is>
          <t>NYKVARN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46309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46309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46309</v>
      </c>
      <c r="F69" t="inlineStr">
        <is>
          <t>STOCKHOLMS LÄN</t>
        </is>
      </c>
      <c r="G69" t="inlineStr">
        <is>
          <t>NYKVARN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46309</v>
      </c>
      <c r="F70" t="inlineStr">
        <is>
          <t>STOCKHOLMS LÄN</t>
        </is>
      </c>
      <c r="G70" t="inlineStr">
        <is>
          <t>NYKVARN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46309</v>
      </c>
      <c r="F71" t="inlineStr">
        <is>
          <t>STOCKHOLMS LÄN</t>
        </is>
      </c>
      <c r="G71" t="inlineStr">
        <is>
          <t>NYKVARN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46309</v>
      </c>
      <c r="F72" t="inlineStr">
        <is>
          <t>STOCKHOLMS LÄN</t>
        </is>
      </c>
      <c r="G72" t="inlineStr">
        <is>
          <t>NYKVARN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37244-2026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46274</v>
      </c>
      <c r="E73" s="1" t="n">
        <v>46309</v>
      </c>
      <c r="F73" t="inlineStr">
        <is>
          <t>STOCKHOLMS LÄN</t>
        </is>
      </c>
      <c r="G73" t="inlineStr">
        <is>
          <t>NYKVARN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37271-2026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46309</v>
      </c>
      <c r="F74" t="inlineStr">
        <is>
          <t>STOCKHOLMS LÄN</t>
        </is>
      </c>
      <c r="G74" t="inlineStr">
        <is>
          <t>NYKVARN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46309</v>
      </c>
      <c r="F75" t="inlineStr">
        <is>
          <t>STOCKHOLMS LÄN</t>
        </is>
      </c>
      <c r="G75" t="inlineStr">
        <is>
          <t>NYKVARN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46309</v>
      </c>
      <c r="F76" t="inlineStr">
        <is>
          <t>STOCKHOLMS LÄN</t>
        </is>
      </c>
      <c r="G76" t="inlineStr">
        <is>
          <t>NYKVARN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46309</v>
      </c>
      <c r="F77" t="inlineStr">
        <is>
          <t>STOCKHOLMS LÄN</t>
        </is>
      </c>
      <c r="G77" t="inlineStr">
        <is>
          <t>NYKVARN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46273</v>
      </c>
      <c r="E78" s="1" t="n">
        <v>46309</v>
      </c>
      <c r="F78" t="inlineStr">
        <is>
          <t>STOCKHOLMS LÄN</t>
        </is>
      </c>
      <c r="G78" t="inlineStr">
        <is>
          <t>NYKVARN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46309</v>
      </c>
      <c r="F79" t="inlineStr">
        <is>
          <t>STOCKHOLMS LÄN</t>
        </is>
      </c>
      <c r="G79" t="inlineStr">
        <is>
          <t>NYKVARN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37266-2026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46274</v>
      </c>
      <c r="E80" s="1" t="n">
        <v>46309</v>
      </c>
      <c r="F80" t="inlineStr">
        <is>
          <t>STOCKHOLMS LÄN</t>
        </is>
      </c>
      <c r="G80" t="inlineStr">
        <is>
          <t>NYKVARN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46309</v>
      </c>
      <c r="F81" t="inlineStr">
        <is>
          <t>STOCKHOLMS LÄN</t>
        </is>
      </c>
      <c r="G81" t="inlineStr">
        <is>
          <t>NYKVARN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46309</v>
      </c>
      <c r="F82" t="inlineStr">
        <is>
          <t>STOCKHOLMS LÄN</t>
        </is>
      </c>
      <c r="G82" t="inlineStr">
        <is>
          <t>NYKVARN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44973</v>
      </c>
      <c r="E83" s="1" t="n">
        <v>46309</v>
      </c>
      <c r="F83" t="inlineStr">
        <is>
          <t>STOCKHOLMS LÄN</t>
        </is>
      </c>
      <c r="G83" t="inlineStr">
        <is>
          <t>NYKVARN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46309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44630</v>
      </c>
      <c r="E85" s="1" t="n">
        <v>46309</v>
      </c>
      <c r="F85" t="inlineStr">
        <is>
          <t>STOCKHOLMS LÄN</t>
        </is>
      </c>
      <c r="G85" t="inlineStr">
        <is>
          <t>NYKVARN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34328-2026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46254</v>
      </c>
      <c r="E86" s="1" t="n">
        <v>46309</v>
      </c>
      <c r="F86" t="inlineStr">
        <is>
          <t>STOCKHOLMS LÄN</t>
        </is>
      </c>
      <c r="G86" t="inlineStr">
        <is>
          <t>NYKVARN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45309</v>
      </c>
      <c r="E87" s="1" t="n">
        <v>46309</v>
      </c>
      <c r="F87" t="inlineStr">
        <is>
          <t>STOCKHOLMS LÄN</t>
        </is>
      </c>
      <c r="G87" t="inlineStr">
        <is>
          <t>NYKVARN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46309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46309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2026-10-14T02:06:31Z</dcterms:created>
  <dcterms:modified xmlns:dcterms="http://purl.org/dc/terms/" xmlns:xsi="http://www.w3.org/2001/XMLSchema-instance" xsi:type="dcterms:W3CDTF">2026-10-14T02:06:31Z</dcterms:modified>
</cp:coreProperties>
</file>