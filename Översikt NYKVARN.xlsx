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46165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46165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46165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46165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17009-2026</t>
        </is>
      </c>
      <c r="B9" s="1" t="n">
        <v>46114.43309027778</v>
      </c>
      <c r="C9" s="1" t="n">
        <v>46165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8.699999999999999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HYPERLINK("https://klasma.github.io/Logging_0140/artfynd/A 17009-2026 artfynd.xlsx", "A 17009-2026")</f>
        <v/>
      </c>
      <c r="T9">
        <f>HYPERLINK("https://klasma.github.io/Logging_0140/kartor/A 17009-2026 karta.png", "A 17009-2026")</f>
        <v/>
      </c>
      <c r="V9">
        <f>HYPERLINK("https://klasma.github.io/Logging_0140/klagomål/A 17009-2026 FSC-klagomål.docx", "A 17009-2026")</f>
        <v/>
      </c>
      <c r="W9">
        <f>HYPERLINK("https://klasma.github.io/Logging_0140/klagomålsmail/A 17009-2026 FSC-klagomål mail.docx", "A 17009-2026")</f>
        <v/>
      </c>
      <c r="X9">
        <f>HYPERLINK("https://klasma.github.io/Logging_0140/tillsyn/A 17009-2026 tillsynsbegäran.docx", "A 17009-2026")</f>
        <v/>
      </c>
      <c r="Y9">
        <f>HYPERLINK("https://klasma.github.io/Logging_0140/tillsynsmail/A 17009-2026 tillsynsbegäran mail.docx", "A 17009-2026")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46165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46165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46165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46165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46165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46165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46165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46165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46165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46165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46165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46165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46165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46165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46165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46165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46165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46165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46165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46165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46165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46165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46165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46165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46165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46165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46165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46165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46165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46165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36986-2025</t>
        </is>
      </c>
      <c r="B40" s="1" t="n">
        <v>45874.65056712963</v>
      </c>
      <c r="C40" s="1" t="n">
        <v>46165</v>
      </c>
      <c r="D40" t="inlineStr">
        <is>
          <t>STOCKHOLMS LÄN</t>
        </is>
      </c>
      <c r="E40" t="inlineStr">
        <is>
          <t>NYKVARN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46165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46165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46165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40168-2023</t>
        </is>
      </c>
      <c r="B44" s="1" t="n">
        <v>45169.38591435185</v>
      </c>
      <c r="C44" s="1" t="n">
        <v>46165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41681-2023</t>
        </is>
      </c>
      <c r="B45" s="1" t="n">
        <v>45173</v>
      </c>
      <c r="C45" s="1" t="n">
        <v>46165</v>
      </c>
      <c r="D45" t="inlineStr">
        <is>
          <t>STOCKHOLMS LÄN</t>
        </is>
      </c>
      <c r="E45" t="inlineStr">
        <is>
          <t>NYKVARN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24283-2022</t>
        </is>
      </c>
      <c r="B46" s="1" t="n">
        <v>44725.79453703704</v>
      </c>
      <c r="C46" s="1" t="n">
        <v>46165</v>
      </c>
      <c r="D46" t="inlineStr">
        <is>
          <t>STOCKHOLMS LÄN</t>
        </is>
      </c>
      <c r="E46" t="inlineStr">
        <is>
          <t>NYKVARN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8096-2023</t>
        </is>
      </c>
      <c r="B47" s="1" t="n">
        <v>44974.389375</v>
      </c>
      <c r="C47" s="1" t="n">
        <v>46165</v>
      </c>
      <c r="D47" t="inlineStr">
        <is>
          <t>STOCKHOLMS LÄN</t>
        </is>
      </c>
      <c r="E47" t="inlineStr">
        <is>
          <t>NYKVARN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59342-2025</t>
        </is>
      </c>
      <c r="B48" s="1" t="n">
        <v>45989.38784722222</v>
      </c>
      <c r="C48" s="1" t="n">
        <v>46165</v>
      </c>
      <c r="D48" t="inlineStr">
        <is>
          <t>STOCKHOLMS LÄN</t>
        </is>
      </c>
      <c r="E48" t="inlineStr">
        <is>
          <t>NYKVARN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45989.40099537037</v>
      </c>
      <c r="C49" s="1" t="n">
        <v>46165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46165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46165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46165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46165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63400-2023</t>
        </is>
      </c>
      <c r="B54" s="1" t="n">
        <v>45274</v>
      </c>
      <c r="C54" s="1" t="n">
        <v>46165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19487-2023</t>
        </is>
      </c>
      <c r="B55" s="1" t="n">
        <v>45050</v>
      </c>
      <c r="C55" s="1" t="n">
        <v>46165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18793-2023</t>
        </is>
      </c>
      <c r="B56" s="1" t="n">
        <v>45044</v>
      </c>
      <c r="C56" s="1" t="n">
        <v>46165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46165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46165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50031-2023</t>
        </is>
      </c>
      <c r="B59" s="1" t="n">
        <v>45215.48474537037</v>
      </c>
      <c r="C59" s="1" t="n">
        <v>46165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25278-2022</t>
        </is>
      </c>
      <c r="B60" s="1" t="n">
        <v>44730</v>
      </c>
      <c r="C60" s="1" t="n">
        <v>46165</v>
      </c>
      <c r="D60" t="inlineStr">
        <is>
          <t>STOCKHOLMS LÄN</t>
        </is>
      </c>
      <c r="E60" t="inlineStr">
        <is>
          <t>NYKVARN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71540-2021</t>
        </is>
      </c>
      <c r="B61" s="1" t="n">
        <v>44540</v>
      </c>
      <c r="C61" s="1" t="n">
        <v>46165</v>
      </c>
      <c r="D61" t="inlineStr">
        <is>
          <t>STOCKHOLMS LÄN</t>
        </is>
      </c>
      <c r="E61" t="inlineStr">
        <is>
          <t>NYKVARN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7926-2023</t>
        </is>
      </c>
      <c r="B62" s="1" t="n">
        <v>44973.6502662037</v>
      </c>
      <c r="C62" s="1" t="n">
        <v>46165</v>
      </c>
      <c r="D62" t="inlineStr">
        <is>
          <t>STOCKHOLMS LÄN</t>
        </is>
      </c>
      <c r="E62" t="inlineStr">
        <is>
          <t>NYKVARN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46165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11045-2026</t>
        </is>
      </c>
      <c r="B64" s="1" t="n">
        <v>46079.58353009259</v>
      </c>
      <c r="C64" s="1" t="n">
        <v>46165</v>
      </c>
      <c r="D64" t="inlineStr">
        <is>
          <t>STOCKHOLMS LÄN</t>
        </is>
      </c>
      <c r="E64" t="inlineStr">
        <is>
          <t>NYKVARN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18780-2026</t>
        </is>
      </c>
      <c r="B65" s="1" t="n">
        <v>46128.58193287037</v>
      </c>
      <c r="C65" s="1" t="n">
        <v>46165</v>
      </c>
      <c r="D65" t="inlineStr">
        <is>
          <t>STOCKHOLMS LÄN</t>
        </is>
      </c>
      <c r="E65" t="inlineStr">
        <is>
          <t>NYKVARN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39539-2023</t>
        </is>
      </c>
      <c r="B66" s="1" t="n">
        <v>45167</v>
      </c>
      <c r="C66" s="1" t="n">
        <v>46165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46165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19216-2026</t>
        </is>
      </c>
      <c r="B68" s="1" t="n">
        <v>46132.62922453704</v>
      </c>
      <c r="C68" s="1" t="n">
        <v>46165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19217-2026</t>
        </is>
      </c>
      <c r="B69" s="1" t="n">
        <v>46132.63274305555</v>
      </c>
      <c r="C69" s="1" t="n">
        <v>46165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46165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53337-2023</t>
        </is>
      </c>
      <c r="B71" s="1" t="n">
        <v>45229.63960648148</v>
      </c>
      <c r="C71" s="1" t="n">
        <v>46165</v>
      </c>
      <c r="D71" t="inlineStr">
        <is>
          <t>STOCKHOLMS LÄN</t>
        </is>
      </c>
      <c r="E71" t="inlineStr">
        <is>
          <t>NYKVARN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15912-2026</t>
        </is>
      </c>
      <c r="B72" s="1" t="n">
        <v>46107.64332175926</v>
      </c>
      <c r="C72" s="1" t="n">
        <v>46165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46165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46165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46165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46165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46165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46165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46165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46165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46165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26755-2025</t>
        </is>
      </c>
      <c r="B82" s="1" t="n">
        <v>45810.55623842592</v>
      </c>
      <c r="C82" s="1" t="n">
        <v>46165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28598-2025</t>
        </is>
      </c>
      <c r="B83" s="1" t="n">
        <v>45819.59659722223</v>
      </c>
      <c r="C83" s="1" t="n">
        <v>46165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28607-2025</t>
        </is>
      </c>
      <c r="B84" s="1" t="n">
        <v>45819.60226851852</v>
      </c>
      <c r="C84" s="1" t="n">
        <v>46165</v>
      </c>
      <c r="D84" t="inlineStr">
        <is>
          <t>STOCKHOLMS LÄN</t>
        </is>
      </c>
      <c r="E84" t="inlineStr">
        <is>
          <t>NYKVARN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2026-05-23T10:55:08Z</dcterms:created>
  <dcterms:modified xmlns:dcterms="http://purl.org/dc/terms/" xmlns:xsi="http://www.w3.org/2001/XMLSchema-instance" xsi:type="dcterms:W3CDTF">2026-05-23T10:55:08Z</dcterms:modified>
</cp:coreProperties>
</file>