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46221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V2">
        <f>HYPERLINK("https://klasma.github.io/Logging_0140/artfynd/A 63581-2023 artfynd.xlsx", "A 63581-2023")</f>
        <v/>
      </c>
      <c r="W2">
        <f>HYPERLINK("https://klasma.github.io/Logging_0140/kartor/A 63581-2023 karta.png", "A 63581-2023")</f>
        <v/>
      </c>
      <c r="Y2">
        <f>HYPERLINK("https://klasma.github.io/Logging_0140/klagomål/A 63581-2023 FSC-klagomål.docx", "A 63581-2023")</f>
        <v/>
      </c>
      <c r="Z2">
        <f>HYPERLINK("https://klasma.github.io/Logging_0140/klagomålsmail/A 63581-2023 FSC-klagomål mail.docx", "A 63581-2023")</f>
        <v/>
      </c>
      <c r="AA2">
        <f>HYPERLINK("https://klasma.github.io/Logging_0140/tillsyn/A 63581-2023 tillsynsbegäran.docx", "A 63581-2023")</f>
        <v/>
      </c>
      <c r="AB2">
        <f>HYPERLINK("https://klasma.github.io/Logging_0140/tillsynsmail/A 63581-2023 tillsynsbegäran mail.docx", "A 63581-2023")</f>
        <v/>
      </c>
      <c r="AC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46221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V3">
        <f>HYPERLINK("https://klasma.github.io/Logging_0140/artfynd/S 4513-2023 artfynd.xlsx", "S 4513-2023")</f>
        <v/>
      </c>
      <c r="W3">
        <f>HYPERLINK("https://klasma.github.io/Logging_0140/kartor/S 4513-2023 karta.png", "S 4513-2023")</f>
        <v/>
      </c>
      <c r="Y3">
        <f>HYPERLINK("https://klasma.github.io/Logging_0140/klagomål/S 4513-2023 FSC-klagomål.docx", "S 4513-2023")</f>
        <v/>
      </c>
      <c r="Z3">
        <f>HYPERLINK("https://klasma.github.io/Logging_0140/klagomålsmail/S 4513-2023 FSC-klagomål mail.docx", "S 4513-2023")</f>
        <v/>
      </c>
      <c r="AA3">
        <f>HYPERLINK("https://klasma.github.io/Logging_0140/tillsyn/S 4513-2023 tillsynsbegäran.docx", "S 4513-2023")</f>
        <v/>
      </c>
      <c r="AB3">
        <f>HYPERLINK("https://klasma.github.io/Logging_0140/tillsynsmail/S 4513-2023 tillsynsbegäran mail.docx", "S 4513-2023")</f>
        <v/>
      </c>
      <c r="AC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46221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s="2" t="inlineStr">
        <is>
          <t>Dropptaggsvamp
Motaggsvamp
Tallticka
Vedskivlav
Spillkråka</t>
        </is>
      </c>
      <c r="V4">
        <f>HYPERLINK("https://klasma.github.io/Logging_0140/artfynd/A 3294-2026 artfynd.xlsx", "A 3294-2026")</f>
        <v/>
      </c>
      <c r="W4">
        <f>HYPERLINK("https://klasma.github.io/Logging_0140/kartor/A 3294-2026 karta.png", "A 3294-2026")</f>
        <v/>
      </c>
      <c r="Y4">
        <f>HYPERLINK("https://klasma.github.io/Logging_0140/klagomål/A 3294-2026 FSC-klagomål.docx", "A 3294-2026")</f>
        <v/>
      </c>
      <c r="Z4">
        <f>HYPERLINK("https://klasma.github.io/Logging_0140/klagomålsmail/A 3294-2026 FSC-klagomål mail.docx", "A 3294-2026")</f>
        <v/>
      </c>
      <c r="AA4">
        <f>HYPERLINK("https://klasma.github.io/Logging_0140/tillsyn/A 3294-2026 tillsynsbegäran.docx", "A 3294-2026")</f>
        <v/>
      </c>
      <c r="AB4">
        <f>HYPERLINK("https://klasma.github.io/Logging_0140/tillsynsmail/A 3294-2026 tillsynsbegäran mail.docx", "A 3294-2026")</f>
        <v/>
      </c>
      <c r="AC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46221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s="2" t="inlineStr">
        <is>
          <t>Ullticka
Granbarkgnagare</t>
        </is>
      </c>
      <c r="V5">
        <f>HYPERLINK("https://klasma.github.io/Logging_0140/artfynd/A 49680-2022 artfynd.xlsx", "A 49680-2022")</f>
        <v/>
      </c>
      <c r="W5">
        <f>HYPERLINK("https://klasma.github.io/Logging_0140/kartor/A 49680-2022 karta.png", "A 49680-2022")</f>
        <v/>
      </c>
      <c r="Y5">
        <f>HYPERLINK("https://klasma.github.io/Logging_0140/klagomål/A 49680-2022 FSC-klagomål.docx", "A 49680-2022")</f>
        <v/>
      </c>
      <c r="Z5">
        <f>HYPERLINK("https://klasma.github.io/Logging_0140/klagomålsmail/A 49680-2022 FSC-klagomål mail.docx", "A 49680-2022")</f>
        <v/>
      </c>
      <c r="AA5">
        <f>HYPERLINK("https://klasma.github.io/Logging_0140/tillsyn/A 49680-2022 tillsynsbegäran.docx", "A 49680-2022")</f>
        <v/>
      </c>
      <c r="AB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46221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s="2" t="inlineStr">
        <is>
          <t>Motaggsvamp
Tallticka</t>
        </is>
      </c>
      <c r="V6">
        <f>HYPERLINK("https://klasma.github.io/Logging_0140/artfynd/A 19216-2026 artfynd.xlsx", "A 19216-2026")</f>
        <v/>
      </c>
      <c r="W6">
        <f>HYPERLINK("https://klasma.github.io/Logging_0140/kartor/A 19216-2026 karta.png", "A 19216-2026")</f>
        <v/>
      </c>
      <c r="Y6">
        <f>HYPERLINK("https://klasma.github.io/Logging_0140/klagomål/A 19216-2026 FSC-klagomål.docx", "A 19216-2026")</f>
        <v/>
      </c>
      <c r="Z6">
        <f>HYPERLINK("https://klasma.github.io/Logging_0140/klagomålsmail/A 19216-2026 FSC-klagomål mail.docx", "A 19216-2026")</f>
        <v/>
      </c>
      <c r="AA6">
        <f>HYPERLINK("https://klasma.github.io/Logging_0140/tillsyn/A 19216-2026 tillsynsbegäran.docx", "A 19216-2026")</f>
        <v/>
      </c>
      <c r="AB6">
        <f>HYPERLINK("https://klasma.github.io/Logging_0140/tillsynsmail/A 19216-2026 tillsynsbegäran mail.docx", "A 19216-2026")</f>
        <v/>
      </c>
    </row>
    <row r="7" ht="15" customHeight="1">
      <c r="A7" t="inlineStr">
        <is>
          <t>A 18848-2024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45426</v>
      </c>
      <c r="E7" s="1" t="n">
        <v>46221</v>
      </c>
      <c r="F7" t="inlineStr">
        <is>
          <t>STOCKHOLMS LÄN</t>
        </is>
      </c>
      <c r="G7" t="inlineStr">
        <is>
          <t>NYKVARN</t>
        </is>
      </c>
      <c r="I7" t="n">
        <v>0.6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Igelkott</t>
        </is>
      </c>
      <c r="V7">
        <f>HYPERLINK("https://klasma.github.io/Logging_0140/artfynd/A 18848-2024 artfynd.xlsx", "A 18848-2024")</f>
        <v/>
      </c>
      <c r="W7">
        <f>HYPERLINK("https://klasma.github.io/Logging_0140/kartor/A 18848-2024 karta.png", "A 18848-2024")</f>
        <v/>
      </c>
      <c r="Y7">
        <f>HYPERLINK("https://klasma.github.io/Logging_0140/klagomål/A 18848-2024 FSC-klagomål.docx", "A 18848-2024")</f>
        <v/>
      </c>
      <c r="Z7">
        <f>HYPERLINK("https://klasma.github.io/Logging_0140/klagomålsmail/A 18848-2024 FSC-klagomål mail.docx", "A 18848-2024")</f>
        <v/>
      </c>
      <c r="AA7">
        <f>HYPERLINK("https://klasma.github.io/Logging_0140/tillsyn/A 18848-2024 tillsynsbegäran.docx", "A 18848-2024")</f>
        <v/>
      </c>
      <c r="AB7">
        <f>HYPERLINK("https://klasma.github.io/Logging_0140/tillsynsmail/A 18848-2024 tillsynsbegäran mail.docx", "A 18848-2024")</f>
        <v/>
      </c>
    </row>
    <row r="8" ht="15" customHeight="1">
      <c r="A8" t="inlineStr">
        <is>
          <t>A 39539-2023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45167</v>
      </c>
      <c r="E8" s="1" t="n">
        <v>46221</v>
      </c>
      <c r="F8" t="inlineStr">
        <is>
          <t>STOCKHOLMS LÄN</t>
        </is>
      </c>
      <c r="G8" t="inlineStr">
        <is>
          <t>NYKVARN</t>
        </is>
      </c>
      <c r="I8" t="n">
        <v>2.3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s="2" t="inlineStr">
        <is>
          <t>Igelkott</t>
        </is>
      </c>
      <c r="V8">
        <f>HYPERLINK("https://klasma.github.io/Logging_0140/artfynd/A 39539-2023 artfynd.xlsx", "A 39539-2023")</f>
        <v/>
      </c>
      <c r="W8">
        <f>HYPERLINK("https://klasma.github.io/Logging_0140/kartor/A 39539-2023 karta.png", "A 39539-2023")</f>
        <v/>
      </c>
      <c r="Y8">
        <f>HYPERLINK("https://klasma.github.io/Logging_0140/klagomål/A 39539-2023 FSC-klagomål.docx", "A 39539-2023")</f>
        <v/>
      </c>
      <c r="Z8">
        <f>HYPERLINK("https://klasma.github.io/Logging_0140/klagomålsmail/A 39539-2023 FSC-klagomål mail.docx", "A 39539-2023")</f>
        <v/>
      </c>
      <c r="AA8">
        <f>HYPERLINK("https://klasma.github.io/Logging_0140/tillsyn/A 39539-2023 tillsynsbegäran.docx", "A 39539-2023")</f>
        <v/>
      </c>
      <c r="AB8">
        <f>HYPERLINK("https://klasma.github.io/Logging_0140/tillsynsmail/A 39539-2023 tillsynsbegäran mail.docx", "A 39539-2023")</f>
        <v/>
      </c>
    </row>
    <row r="9" ht="15" customHeight="1">
      <c r="A9" t="inlineStr">
        <is>
          <t>A 11393-2022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44630</v>
      </c>
      <c r="E9" s="1" t="n">
        <v>46221</v>
      </c>
      <c r="F9" t="inlineStr">
        <is>
          <t>STOCKHOLMS LÄN</t>
        </is>
      </c>
      <c r="G9" t="inlineStr">
        <is>
          <t>NYKVARN</t>
        </is>
      </c>
      <c r="I9" t="n">
        <v>3.8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Björksplintborre</t>
        </is>
      </c>
      <c r="V9">
        <f>HYPERLINK("https://klasma.github.io/Logging_0140/artfynd/A 11393-2022 artfynd.xlsx", "A 11393-2022")</f>
        <v/>
      </c>
      <c r="W9">
        <f>HYPERLINK("https://klasma.github.io/Logging_0140/kartor/A 11393-2022 karta.png", "A 11393-2022")</f>
        <v/>
      </c>
      <c r="Y9">
        <f>HYPERLINK("https://klasma.github.io/Logging_0140/klagomål/A 11393-2022 FSC-klagomål.docx", "A 11393-2022")</f>
        <v/>
      </c>
      <c r="Z9">
        <f>HYPERLINK("https://klasma.github.io/Logging_0140/klagomålsmail/A 11393-2022 FSC-klagomål mail.docx", "A 11393-2022")</f>
        <v/>
      </c>
      <c r="AA9">
        <f>HYPERLINK("https://klasma.github.io/Logging_0140/tillsyn/A 11393-2022 tillsynsbegäran.docx", "A 11393-2022")</f>
        <v/>
      </c>
      <c r="AB9">
        <f>HYPERLINK("https://klasma.github.io/Logging_0140/tillsynsmail/A 11393-2022 tillsynsbegäran mail.docx", "A 11393-2022")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46221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s="2" t="inlineStr">
        <is>
          <t>Igelkott</t>
        </is>
      </c>
      <c r="V10">
        <f>HYPERLINK("https://klasma.github.io/Logging_0140/artfynd/A 11388-2024 artfynd.xlsx", "A 11388-2024")</f>
        <v/>
      </c>
      <c r="W10">
        <f>HYPERLINK("https://klasma.github.io/Logging_0140/kartor/A 11388-2024 karta.png", "A 11388-2024")</f>
        <v/>
      </c>
      <c r="Y10">
        <f>HYPERLINK("https://klasma.github.io/Logging_0140/klagomål/A 11388-2024 FSC-klagomål.docx", "A 11388-2024")</f>
        <v/>
      </c>
      <c r="Z10">
        <f>HYPERLINK("https://klasma.github.io/Logging_0140/klagomålsmail/A 11388-2024 FSC-klagomål mail.docx", "A 11388-2024")</f>
        <v/>
      </c>
      <c r="AA10">
        <f>HYPERLINK("https://klasma.github.io/Logging_0140/tillsyn/A 11388-2024 tillsynsbegäran.docx", "A 11388-2024")</f>
        <v/>
      </c>
      <c r="AB10">
        <f>HYPERLINK("https://klasma.github.io/Logging_0140/tillsynsmail/A 11388-2024 tillsynsbegäran mail.docx", "A 11388-2024")</f>
        <v/>
      </c>
    </row>
    <row r="11" ht="15" customHeight="1">
      <c r="A11" t="inlineStr">
        <is>
          <t>A 59342-2025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46221</v>
      </c>
      <c r="F11" t="inlineStr">
        <is>
          <t>STOCKHOLMS LÄN</t>
        </is>
      </c>
      <c r="G11" t="inlineStr">
        <is>
          <t>NYKVARN</t>
        </is>
      </c>
      <c r="I11" t="n">
        <v>1.9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Kösa</t>
        </is>
      </c>
      <c r="V11">
        <f>HYPERLINK("https://klasma.github.io/Logging_0140/artfynd/A 59342-2025 artfynd.xlsx", "A 59342-2025")</f>
        <v/>
      </c>
      <c r="W11">
        <f>HYPERLINK("https://klasma.github.io/Logging_0140/kartor/A 59342-2025 karta.png", "A 59342-2025")</f>
        <v/>
      </c>
      <c r="Y11">
        <f>HYPERLINK("https://klasma.github.io/Logging_0140/klagomål/A 59342-2025 FSC-klagomål.docx", "A 59342-2025")</f>
        <v/>
      </c>
      <c r="Z11">
        <f>HYPERLINK("https://klasma.github.io/Logging_0140/klagomålsmail/A 59342-2025 FSC-klagomål mail.docx", "A 59342-2025")</f>
        <v/>
      </c>
      <c r="AA11">
        <f>HYPERLINK("https://klasma.github.io/Logging_0140/tillsyn/A 59342-2025 tillsynsbegäran.docx", "A 59342-2025")</f>
        <v/>
      </c>
      <c r="AB11">
        <f>HYPERLINK("https://klasma.github.io/Logging_0140/tillsynsmail/A 59342-2025 tillsynsbegäran mail.docx", "A 59342-2025")</f>
        <v/>
      </c>
    </row>
    <row r="12" ht="15" customHeight="1">
      <c r="A12" t="inlineStr">
        <is>
          <t>A 25754-2023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45084</v>
      </c>
      <c r="E12" s="1" t="n">
        <v>46221</v>
      </c>
      <c r="F12" t="inlineStr">
        <is>
          <t>STOCKHOLMS LÄN</t>
        </is>
      </c>
      <c r="G12" t="inlineStr">
        <is>
          <t>NYKVARN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Trana</t>
        </is>
      </c>
      <c r="V12">
        <f>HYPERLINK("https://klasma.github.io/Logging_0140/artfynd/A 25754-2023 artfynd.xlsx", "A 25754-2023")</f>
        <v/>
      </c>
      <c r="W12">
        <f>HYPERLINK("https://klasma.github.io/Logging_0140/kartor/A 25754-2023 karta.png", "A 25754-2023")</f>
        <v/>
      </c>
      <c r="Y12">
        <f>HYPERLINK("https://klasma.github.io/Logging_0140/klagomål/A 25754-2023 FSC-klagomål.docx", "A 25754-2023")</f>
        <v/>
      </c>
      <c r="Z12">
        <f>HYPERLINK("https://klasma.github.io/Logging_0140/klagomålsmail/A 25754-2023 FSC-klagomål mail.docx", "A 25754-2023")</f>
        <v/>
      </c>
      <c r="AA12">
        <f>HYPERLINK("https://klasma.github.io/Logging_0140/tillsyn/A 25754-2023 tillsynsbegäran.docx", "A 25754-2023")</f>
        <v/>
      </c>
      <c r="AB12">
        <f>HYPERLINK("https://klasma.github.io/Logging_0140/tillsynsmail/A 25754-2023 tillsynsbegäran mail.docx", "A 25754-2023")</f>
        <v/>
      </c>
      <c r="AC12">
        <f>HYPERLINK("https://klasma.github.io/Logging_0140/fåglar/A 25754-2023 prioriterade fågelarter.docx", "A 25754-2023")</f>
        <v/>
      </c>
    </row>
    <row r="13" ht="15" customHeight="1">
      <c r="A13" t="inlineStr">
        <is>
          <t>A 15912-2026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46107</v>
      </c>
      <c r="E13" s="1" t="n">
        <v>46221</v>
      </c>
      <c r="F13" t="inlineStr">
        <is>
          <t>STOCKHOLMS LÄN</t>
        </is>
      </c>
      <c r="G13" t="inlineStr">
        <is>
          <t>NYKVARN</t>
        </is>
      </c>
      <c r="H13" t="inlineStr">
        <is>
          <t>Sveaskog</t>
        </is>
      </c>
      <c r="I13" t="n">
        <v>12.9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Skogsödla</t>
        </is>
      </c>
      <c r="V13">
        <f>HYPERLINK("https://klasma.github.io/Logging_0140/artfynd/A 15912-2026 artfynd.xlsx", "A 15912-2026")</f>
        <v/>
      </c>
      <c r="W13">
        <f>HYPERLINK("https://klasma.github.io/Logging_0140/kartor/A 15912-2026 karta.png", "A 15912-2026")</f>
        <v/>
      </c>
      <c r="Y13">
        <f>HYPERLINK("https://klasma.github.io/Logging_0140/klagomål/A 15912-2026 FSC-klagomål.docx", "A 15912-2026")</f>
        <v/>
      </c>
      <c r="Z13">
        <f>HYPERLINK("https://klasma.github.io/Logging_0140/klagomålsmail/A 15912-2026 FSC-klagomål mail.docx", "A 15912-2026")</f>
        <v/>
      </c>
      <c r="AA13">
        <f>HYPERLINK("https://klasma.github.io/Logging_0140/tillsyn/A 15912-2026 tillsynsbegäran.docx", "A 15912-2026")</f>
        <v/>
      </c>
      <c r="AB13">
        <f>HYPERLINK("https://klasma.github.io/Logging_0140/tillsynsmail/A 15912-2026 tillsynsbegäran mail.docx", "A 15912-2026")</f>
        <v/>
      </c>
    </row>
    <row r="14" ht="15" customHeight="1">
      <c r="A14" t="inlineStr">
        <is>
          <t>A 17009-2026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46114</v>
      </c>
      <c r="E14" s="1" t="n">
        <v>46221</v>
      </c>
      <c r="F14" t="inlineStr">
        <is>
          <t>STOCKHOLMS LÄN</t>
        </is>
      </c>
      <c r="G14" t="inlineStr">
        <is>
          <t>NYKVARN</t>
        </is>
      </c>
      <c r="H14" t="inlineStr">
        <is>
          <t>Sveaskog</t>
        </is>
      </c>
      <c r="I14" t="n">
        <v>8.699999999999999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Mattlummer</t>
        </is>
      </c>
      <c r="V14">
        <f>HYPERLINK("https://klasma.github.io/Logging_0140/artfynd/A 17009-2026 artfynd.xlsx", "A 17009-2026")</f>
        <v/>
      </c>
      <c r="W14">
        <f>HYPERLINK("https://klasma.github.io/Logging_0140/kartor/A 17009-2026 karta.png", "A 17009-2026")</f>
        <v/>
      </c>
      <c r="Y14">
        <f>HYPERLINK("https://klasma.github.io/Logging_0140/klagomål/A 17009-2026 FSC-klagomål.docx", "A 17009-2026")</f>
        <v/>
      </c>
      <c r="Z14">
        <f>HYPERLINK("https://klasma.github.io/Logging_0140/klagomålsmail/A 17009-2026 FSC-klagomål mail.docx", "A 17009-2026")</f>
        <v/>
      </c>
      <c r="AA14">
        <f>HYPERLINK("https://klasma.github.io/Logging_0140/tillsyn/A 17009-2026 tillsynsbegäran.docx", "A 17009-2026")</f>
        <v/>
      </c>
      <c r="AB14">
        <f>HYPERLINK("https://klasma.github.io/Logging_0140/tillsynsmail/A 17009-2026 tillsynsbegäran mail.docx", "A 17009-2026")</f>
        <v/>
      </c>
    </row>
    <row r="15" ht="15" customHeight="1">
      <c r="A15" t="inlineStr">
        <is>
          <t>A 6876-2022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46221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5.1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Fläcknycklar</t>
        </is>
      </c>
      <c r="V15">
        <f>HYPERLINK("https://klasma.github.io/Logging_0140/artfynd/A 6876-2022 artfynd.xlsx", "A 6876-2022")</f>
        <v/>
      </c>
      <c r="W15">
        <f>HYPERLINK("https://klasma.github.io/Logging_0140/kartor/A 6876-2022 karta.png", "A 6876-2022")</f>
        <v/>
      </c>
      <c r="Y15">
        <f>HYPERLINK("https://klasma.github.io/Logging_0140/klagomål/A 6876-2022 FSC-klagomål.docx", "A 6876-2022")</f>
        <v/>
      </c>
      <c r="Z15">
        <f>HYPERLINK("https://klasma.github.io/Logging_0140/klagomålsmail/A 6876-2022 FSC-klagomål mail.docx", "A 6876-2022")</f>
        <v/>
      </c>
      <c r="AA15">
        <f>HYPERLINK("https://klasma.github.io/Logging_0140/tillsyn/A 6876-2022 tillsynsbegäran.docx", "A 6876-2022")</f>
        <v/>
      </c>
      <c r="AB15">
        <f>HYPERLINK("https://klasma.github.io/Logging_0140/tillsynsmail/A 6876-2022 tillsynsbegäran mail.docx", "A 6876-2022")</f>
        <v/>
      </c>
    </row>
    <row r="16" ht="15" customHeight="1">
      <c r="A16" t="inlineStr">
        <is>
          <t>A 8285-2022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44610</v>
      </c>
      <c r="E16" s="1" t="n">
        <v>46221</v>
      </c>
      <c r="F16" t="inlineStr">
        <is>
          <t>STOCKHOLMS LÄN</t>
        </is>
      </c>
      <c r="G16" t="inlineStr">
        <is>
          <t>NYKVARN</t>
        </is>
      </c>
      <c r="I16" t="n">
        <v>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Blåsippa</t>
        </is>
      </c>
      <c r="V16">
        <f>HYPERLINK("https://klasma.github.io/Logging_0140/artfynd/A 8285-2022 artfynd.xlsx", "A 8285-2022")</f>
        <v/>
      </c>
      <c r="W16">
        <f>HYPERLINK("https://klasma.github.io/Logging_0140/kartor/A 8285-2022 karta.png", "A 8285-2022")</f>
        <v/>
      </c>
      <c r="Y16">
        <f>HYPERLINK("https://klasma.github.io/Logging_0140/klagomål/A 8285-2022 FSC-klagomål.docx", "A 8285-2022")</f>
        <v/>
      </c>
      <c r="Z16">
        <f>HYPERLINK("https://klasma.github.io/Logging_0140/klagomålsmail/A 8285-2022 FSC-klagomål mail.docx", "A 8285-2022")</f>
        <v/>
      </c>
      <c r="AA16">
        <f>HYPERLINK("https://klasma.github.io/Logging_0140/tillsyn/A 8285-2022 tillsynsbegäran.docx", "A 8285-2022")</f>
        <v/>
      </c>
      <c r="AB16">
        <f>HYPERLINK("https://klasma.github.io/Logging_0140/tillsynsmail/A 8285-2022 tillsynsbegäran mail.docx", "A 8285-2022")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46221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Kopparödla</t>
        </is>
      </c>
      <c r="V17">
        <f>HYPERLINK("https://klasma.github.io/Logging_0140/artfynd/A 24790-2026 artfynd.xlsx", "A 24790-2026")</f>
        <v/>
      </c>
      <c r="W17">
        <f>HYPERLINK("https://klasma.github.io/Logging_0140/kartor/A 24790-2026 karta.png", "A 24790-2026")</f>
        <v/>
      </c>
      <c r="Y17">
        <f>HYPERLINK("https://klasma.github.io/Logging_0140/klagomål/A 24790-2026 FSC-klagomål.docx", "A 24790-2026")</f>
        <v/>
      </c>
      <c r="Z17">
        <f>HYPERLINK("https://klasma.github.io/Logging_0140/klagomålsmail/A 24790-2026 FSC-klagomål mail.docx", "A 24790-2026")</f>
        <v/>
      </c>
      <c r="AA17">
        <f>HYPERLINK("https://klasma.github.io/Logging_0140/tillsyn/A 24790-2026 tillsynsbegäran.docx", "A 24790-2026")</f>
        <v/>
      </c>
      <c r="AB17">
        <f>HYPERLINK("https://klasma.github.io/Logging_0140/tillsynsmail/A 24790-2026 tillsynsbegäran mail.docx", "A 24790-2026")</f>
        <v/>
      </c>
    </row>
    <row r="18" ht="15" customHeight="1">
      <c r="A18" t="inlineStr">
        <is>
          <t>A 37597-2024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46221</v>
      </c>
      <c r="F18" t="inlineStr">
        <is>
          <t>STOCKHOLMS LÄN</t>
        </is>
      </c>
      <c r="G18" t="inlineStr">
        <is>
          <t>NYKVARN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Röd glada</t>
        </is>
      </c>
      <c r="V18">
        <f>HYPERLINK("https://klasma.github.io/Logging_0140/artfynd/A 37597-2024 artfynd.xlsx", "A 37597-2024")</f>
        <v/>
      </c>
      <c r="W18">
        <f>HYPERLINK("https://klasma.github.io/Logging_0140/kartor/A 37597-2024 karta.png", "A 37597-2024")</f>
        <v/>
      </c>
      <c r="Y18">
        <f>HYPERLINK("https://klasma.github.io/Logging_0140/klagomål/A 37597-2024 FSC-klagomål.docx", "A 37597-2024")</f>
        <v/>
      </c>
      <c r="Z18">
        <f>HYPERLINK("https://klasma.github.io/Logging_0140/klagomålsmail/A 37597-2024 FSC-klagomål mail.docx", "A 37597-2024")</f>
        <v/>
      </c>
      <c r="AA18">
        <f>HYPERLINK("https://klasma.github.io/Logging_0140/tillsyn/A 37597-2024 tillsynsbegäran.docx", "A 37597-2024")</f>
        <v/>
      </c>
      <c r="AB18">
        <f>HYPERLINK("https://klasma.github.io/Logging_0140/tillsynsmail/A 37597-2024 tillsynsbegäran mail.docx", "A 37597-2024")</f>
        <v/>
      </c>
      <c r="AC18">
        <f>HYPERLINK("https://klasma.github.io/Logging_0140/fåglar/A 37597-2024 prioriterade fågelarter.docx", "A 37597-2024")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46221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HYPERLINK("https://klasma.github.io/Logging_0140/artfynd/A 23279-2025 artfynd.xlsx", "A 23279-2025")</f>
        <v/>
      </c>
      <c r="W19">
        <f>HYPERLINK("https://klasma.github.io/Logging_0140/kartor/A 23279-2025 karta.png", "A 23279-2025")</f>
        <v/>
      </c>
      <c r="Y19">
        <f>HYPERLINK("https://klasma.github.io/Logging_0140/klagomål/A 23279-2025 FSC-klagomål.docx", "A 23279-2025")</f>
        <v/>
      </c>
      <c r="Z19">
        <f>HYPERLINK("https://klasma.github.io/Logging_0140/klagomålsmail/A 23279-2025 FSC-klagomål mail.docx", "A 23279-2025")</f>
        <v/>
      </c>
      <c r="AA19">
        <f>HYPERLINK("https://klasma.github.io/Logging_0140/tillsyn/A 23279-2025 tillsynsbegäran.docx", "A 23279-2025")</f>
        <v/>
      </c>
      <c r="AB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46221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s="2" t="inlineStr">
        <is>
          <t>Brandticka</t>
        </is>
      </c>
      <c r="V20">
        <f>HYPERLINK("https://klasma.github.io/Logging_0140/artfynd/S 1552-2023 artfynd.xlsx", "S 1552-2023")</f>
        <v/>
      </c>
      <c r="W20">
        <f>HYPERLINK("https://klasma.github.io/Logging_0140/kartor/S 1552-2023 karta.png", "S 1552-2023")</f>
        <v/>
      </c>
      <c r="Y20">
        <f>HYPERLINK("https://klasma.github.io/Logging_0140/klagomål/S 1552-2023 FSC-klagomål.docx", "S 1552-2023")</f>
        <v/>
      </c>
      <c r="Z20">
        <f>HYPERLINK("https://klasma.github.io/Logging_0140/klagomålsmail/S 1552-2023 FSC-klagomål mail.docx", "S 1552-2023")</f>
        <v/>
      </c>
      <c r="AA20">
        <f>HYPERLINK("https://klasma.github.io/Logging_0140/tillsyn/S 1552-2023 tillsynsbegäran.docx", "S 1552-2023")</f>
        <v/>
      </c>
      <c r="AB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46221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Ekticka</t>
        </is>
      </c>
      <c r="V21">
        <f>HYPERLINK("https://klasma.github.io/Logging_0140/artfynd/S 1147-2023 artfynd.xlsx", "S 1147-2023")</f>
        <v/>
      </c>
      <c r="W21">
        <f>HYPERLINK("https://klasma.github.io/Logging_0140/kartor/S 1147-2023 karta.png", "S 1147-2023")</f>
        <v/>
      </c>
      <c r="Y21">
        <f>HYPERLINK("https://klasma.github.io/Logging_0140/klagomål/S 1147-2023 FSC-klagomål.docx", "S 1147-2023")</f>
        <v/>
      </c>
      <c r="Z21">
        <f>HYPERLINK("https://klasma.github.io/Logging_0140/klagomålsmail/S 1147-2023 FSC-klagomål mail.docx", "S 1147-2023")</f>
        <v/>
      </c>
      <c r="AA21">
        <f>HYPERLINK("https://klasma.github.io/Logging_0140/tillsyn/S 1147-2023 tillsynsbegäran.docx", "S 1147-2023")</f>
        <v/>
      </c>
      <c r="AB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46221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s="2" t="inlineStr">
        <is>
          <t>Knärot</t>
        </is>
      </c>
      <c r="V22">
        <f>HYPERLINK("https://klasma.github.io/Logging_0140/artfynd/S 495-2026 artfynd.xlsx", "S 495-2026")</f>
        <v/>
      </c>
      <c r="W22">
        <f>HYPERLINK("https://klasma.github.io/Logging_0140/kartor/S 495-2026 karta.png", "S 495-2026")</f>
        <v/>
      </c>
      <c r="X22">
        <f>HYPERLINK("https://klasma.github.io/Logging_0140/knärot/S 495-2026 karta knärot.png", "S 495-2026")</f>
        <v/>
      </c>
      <c r="Y22">
        <f>HYPERLINK("https://klasma.github.io/Logging_0140/klagomål/S 495-2026 FSC-klagomål.docx", "S 495-2026")</f>
        <v/>
      </c>
      <c r="Z22">
        <f>HYPERLINK("https://klasma.github.io/Logging_0140/klagomålsmail/S 495-2026 FSC-klagomål mail.docx", "S 495-2026")</f>
        <v/>
      </c>
      <c r="AA22">
        <f>HYPERLINK("https://klasma.github.io/Logging_0140/tillsyn/S 495-2026 tillsynsbegäran.docx", "S 495-2026")</f>
        <v/>
      </c>
      <c r="AB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46221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46221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46221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46221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46221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46221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46221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46221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46221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46221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46221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46221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46221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50031-2023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45215</v>
      </c>
      <c r="E36" s="1" t="n">
        <v>46221</v>
      </c>
      <c r="F36" t="inlineStr">
        <is>
          <t>STOCKHOLMS LÄN</t>
        </is>
      </c>
      <c r="G36" t="inlineStr">
        <is>
          <t>NYKVARN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46221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43230-2022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44834</v>
      </c>
      <c r="E38" s="1" t="n">
        <v>46221</v>
      </c>
      <c r="F38" t="inlineStr">
        <is>
          <t>STOCKHOLMS LÄN</t>
        </is>
      </c>
      <c r="G38" t="inlineStr">
        <is>
          <t>NYKVARN</t>
        </is>
      </c>
      <c r="H38" t="inlineStr">
        <is>
          <t>Allmännings- och besparingsskogar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52963-2022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44875</v>
      </c>
      <c r="E39" s="1" t="n">
        <v>46221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8096-2023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44974</v>
      </c>
      <c r="E40" s="1" t="n">
        <v>46221</v>
      </c>
      <c r="F40" t="inlineStr">
        <is>
          <t>STOCKHOLMS LÄN</t>
        </is>
      </c>
      <c r="G40" t="inlineStr">
        <is>
          <t>NYKVARN</t>
        </is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46221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40168-2023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45169</v>
      </c>
      <c r="E42" s="1" t="n">
        <v>46221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71540-2021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44540</v>
      </c>
      <c r="E43" s="1" t="n">
        <v>46221</v>
      </c>
      <c r="F43" t="inlineStr">
        <is>
          <t>STOCKHOLMS LÄN</t>
        </is>
      </c>
      <c r="G43" t="inlineStr">
        <is>
          <t>NYKVARN</t>
        </is>
      </c>
      <c r="I43" t="n">
        <v>6.7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60324-2022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44910</v>
      </c>
      <c r="E44" s="1" t="n">
        <v>46221</v>
      </c>
      <c r="F44" t="inlineStr">
        <is>
          <t>STOCKHOLMS LÄN</t>
        </is>
      </c>
      <c r="G44" t="inlineStr">
        <is>
          <t>NYKVARN</t>
        </is>
      </c>
      <c r="H44" t="inlineStr">
        <is>
          <t>Kyrkan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38535-2025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45884</v>
      </c>
      <c r="E45" s="1" t="n">
        <v>46221</v>
      </c>
      <c r="F45" t="inlineStr">
        <is>
          <t>STOCKHOLMS LÄN</t>
        </is>
      </c>
      <c r="G45" t="inlineStr">
        <is>
          <t>NYKVARN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53307-2023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45229</v>
      </c>
      <c r="E46" s="1" t="n">
        <v>46221</v>
      </c>
      <c r="F46" t="inlineStr">
        <is>
          <t>STOCKHOLMS LÄN</t>
        </is>
      </c>
      <c r="G46" t="inlineStr">
        <is>
          <t>NYKVARN</t>
        </is>
      </c>
      <c r="H46" t="inlineStr">
        <is>
          <t>Kyrkan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53337-2023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45229</v>
      </c>
      <c r="E47" s="1" t="n">
        <v>46221</v>
      </c>
      <c r="F47" t="inlineStr">
        <is>
          <t>STOCKHOLMS LÄN</t>
        </is>
      </c>
      <c r="G47" t="inlineStr">
        <is>
          <t>NYKVARN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54670-2023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45235</v>
      </c>
      <c r="E48" s="1" t="n">
        <v>46221</v>
      </c>
      <c r="F48" t="inlineStr">
        <is>
          <t>STOCKHOLMS LÄN</t>
        </is>
      </c>
      <c r="G48" t="inlineStr">
        <is>
          <t>NYKVARN</t>
        </is>
      </c>
      <c r="H48" t="inlineStr">
        <is>
          <t>Kommuner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51813-2024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45607</v>
      </c>
      <c r="E49" s="1" t="n">
        <v>46221</v>
      </c>
      <c r="F49" t="inlineStr">
        <is>
          <t>STOCKHOLMS LÄN</t>
        </is>
      </c>
      <c r="G49" t="inlineStr">
        <is>
          <t>NYKVARN</t>
        </is>
      </c>
      <c r="H49" t="inlineStr">
        <is>
          <t>Sveaskog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18793-2023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45044</v>
      </c>
      <c r="E50" s="1" t="n">
        <v>46221</v>
      </c>
      <c r="F50" t="inlineStr">
        <is>
          <t>STOCKHOLMS LÄN</t>
        </is>
      </c>
      <c r="G50" t="inlineStr">
        <is>
          <t>NYKVARN</t>
        </is>
      </c>
      <c r="H50" t="inlineStr">
        <is>
          <t>Kyrkan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22529-2022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44713</v>
      </c>
      <c r="E51" s="1" t="n">
        <v>46221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8.4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51787-2021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44462</v>
      </c>
      <c r="E52" s="1" t="n">
        <v>46221</v>
      </c>
      <c r="F52" t="inlineStr">
        <is>
          <t>STOCKHOLMS LÄN</t>
        </is>
      </c>
      <c r="G52" t="inlineStr">
        <is>
          <t>NYKVARN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46221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44947-2021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44438</v>
      </c>
      <c r="E54" s="1" t="n">
        <v>46221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11.3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54583-2023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46221</v>
      </c>
      <c r="F55" t="inlineStr">
        <is>
          <t>STOCKHOLMS LÄN</t>
        </is>
      </c>
      <c r="G55" t="inlineStr">
        <is>
          <t>NYKVARN</t>
        </is>
      </c>
      <c r="H55" t="inlineStr">
        <is>
          <t>Kommuner</t>
        </is>
      </c>
      <c r="I55" t="n">
        <v>8.4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63586-2023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45275</v>
      </c>
      <c r="E56" s="1" t="n">
        <v>46221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32555-2023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45121</v>
      </c>
      <c r="E57" s="1" t="n">
        <v>46221</v>
      </c>
      <c r="F57" t="inlineStr">
        <is>
          <t>STOCKHOLMS LÄN</t>
        </is>
      </c>
      <c r="G57" t="inlineStr">
        <is>
          <t>NYKVARN</t>
        </is>
      </c>
      <c r="H57" t="inlineStr">
        <is>
          <t>Sveaskog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63592-2023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45275</v>
      </c>
      <c r="E58" s="1" t="n">
        <v>46221</v>
      </c>
      <c r="F58" t="inlineStr">
        <is>
          <t>STOCKHOLMS LÄN</t>
        </is>
      </c>
      <c r="G58" t="inlineStr">
        <is>
          <t>NYKVARN</t>
        </is>
      </c>
      <c r="H58" t="inlineStr">
        <is>
          <t>Kommuner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19217-2026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46132</v>
      </c>
      <c r="E59" s="1" t="n">
        <v>46221</v>
      </c>
      <c r="F59" t="inlineStr">
        <is>
          <t>STOCKHOLMS LÄN</t>
        </is>
      </c>
      <c r="G59" t="inlineStr">
        <is>
          <t>NYKVARN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18780-2026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46128</v>
      </c>
      <c r="E60" s="1" t="n">
        <v>46221</v>
      </c>
      <c r="F60" t="inlineStr">
        <is>
          <t>STOCKHOLMS LÄN</t>
        </is>
      </c>
      <c r="G60" t="inlineStr">
        <is>
          <t>NYKVARN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17328-2025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45756</v>
      </c>
      <c r="E61" s="1" t="n">
        <v>46221</v>
      </c>
      <c r="F61" t="inlineStr">
        <is>
          <t>STOCKHOLMS LÄN</t>
        </is>
      </c>
      <c r="G61" t="inlineStr">
        <is>
          <t>NYKVARN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63400-2023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45274</v>
      </c>
      <c r="E62" s="1" t="n">
        <v>46221</v>
      </c>
      <c r="F62" t="inlineStr">
        <is>
          <t>STOCKHOLMS LÄN</t>
        </is>
      </c>
      <c r="G62" t="inlineStr">
        <is>
          <t>NYKVARN</t>
        </is>
      </c>
      <c r="H62" t="inlineStr">
        <is>
          <t>Kommuner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41681-2023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45173</v>
      </c>
      <c r="E63" s="1" t="n">
        <v>46221</v>
      </c>
      <c r="F63" t="inlineStr">
        <is>
          <t>STOCKHOLMS LÄN</t>
        </is>
      </c>
      <c r="G63" t="inlineStr">
        <is>
          <t>NYKVARN</t>
        </is>
      </c>
      <c r="I63" t="n">
        <v>4.2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19903-2023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45054</v>
      </c>
      <c r="E64" s="1" t="n">
        <v>46221</v>
      </c>
      <c r="F64" t="inlineStr">
        <is>
          <t>STOCKHOLMS LÄN</t>
        </is>
      </c>
      <c r="G64" t="inlineStr">
        <is>
          <t>NYKVARN</t>
        </is>
      </c>
      <c r="I64" t="n">
        <v>7.2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56639-2023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46221</v>
      </c>
      <c r="F65" t="inlineStr">
        <is>
          <t>STOCKHOLMS LÄN</t>
        </is>
      </c>
      <c r="G65" t="inlineStr">
        <is>
          <t>NYKVARN</t>
        </is>
      </c>
      <c r="H65" t="inlineStr">
        <is>
          <t>Kommuner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50020-2023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45215</v>
      </c>
      <c r="E66" s="1" t="n">
        <v>46221</v>
      </c>
      <c r="F66" t="inlineStr">
        <is>
          <t>STOCKHOLMS LÄN</t>
        </is>
      </c>
      <c r="G66" t="inlineStr">
        <is>
          <t>NYKVARN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25278-2022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44730</v>
      </c>
      <c r="E67" s="1" t="n">
        <v>46221</v>
      </c>
      <c r="F67" t="inlineStr">
        <is>
          <t>STOCKHOLMS LÄN</t>
        </is>
      </c>
      <c r="G67" t="inlineStr">
        <is>
          <t>NYKVARN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6854-2022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44602</v>
      </c>
      <c r="E68" s="1" t="n">
        <v>46221</v>
      </c>
      <c r="F68" t="inlineStr">
        <is>
          <t>STOCKHOLMS LÄN</t>
        </is>
      </c>
      <c r="G68" t="inlineStr">
        <is>
          <t>NYKVARN</t>
        </is>
      </c>
      <c r="H68" t="inlineStr">
        <is>
          <t>Kommuner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52878-2022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46221</v>
      </c>
      <c r="F69" t="inlineStr">
        <is>
          <t>STOCKHOLMS LÄN</t>
        </is>
      </c>
      <c r="G69" t="inlineStr">
        <is>
          <t>NYKVARN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24283-2022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44725</v>
      </c>
      <c r="E70" s="1" t="n">
        <v>46221</v>
      </c>
      <c r="F70" t="inlineStr">
        <is>
          <t>STOCKHOLMS LÄN</t>
        </is>
      </c>
      <c r="G70" t="inlineStr">
        <is>
          <t>NYKVARN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2172-2024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45309</v>
      </c>
      <c r="E71" s="1" t="n">
        <v>46221</v>
      </c>
      <c r="F71" t="inlineStr">
        <is>
          <t>STOCKHOLMS LÄN</t>
        </is>
      </c>
      <c r="G71" t="inlineStr">
        <is>
          <t>NYKVARN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7926-2023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46221</v>
      </c>
      <c r="F72" t="inlineStr">
        <is>
          <t>STOCKHOLMS LÄN</t>
        </is>
      </c>
      <c r="G72" t="inlineStr">
        <is>
          <t>NYKVARN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24796-2026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46171</v>
      </c>
      <c r="E73" s="1" t="n">
        <v>46221</v>
      </c>
      <c r="F73" t="inlineStr">
        <is>
          <t>STOCKHOLMS LÄN</t>
        </is>
      </c>
      <c r="G73" t="inlineStr">
        <is>
          <t>NYKVARN</t>
        </is>
      </c>
      <c r="H73" t="inlineStr">
        <is>
          <t>Kommuner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44969-2022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44841</v>
      </c>
      <c r="E74" s="1" t="n">
        <v>46221</v>
      </c>
      <c r="F74" t="inlineStr">
        <is>
          <t>STOCKHOLMS LÄN</t>
        </is>
      </c>
      <c r="G74" t="inlineStr">
        <is>
          <t>NYKVARN</t>
        </is>
      </c>
      <c r="H74" t="inlineStr">
        <is>
          <t>Sveaskog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36986-2025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46221</v>
      </c>
      <c r="F75" t="inlineStr">
        <is>
          <t>STOCKHOLMS LÄN</t>
        </is>
      </c>
      <c r="G75" t="inlineStr">
        <is>
          <t>NYKVARN</t>
        </is>
      </c>
      <c r="I75" t="n">
        <v>10.6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46221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18222-2025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45761</v>
      </c>
      <c r="E77" s="1" t="n">
        <v>46221</v>
      </c>
      <c r="F77" t="inlineStr">
        <is>
          <t>STOCKHOLMS LÄN</t>
        </is>
      </c>
      <c r="G77" t="inlineStr">
        <is>
          <t>NYKVARN</t>
        </is>
      </c>
      <c r="H77" t="inlineStr">
        <is>
          <t>Sveaskog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2177-2024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45309</v>
      </c>
      <c r="E78" s="1" t="n">
        <v>46221</v>
      </c>
      <c r="F78" t="inlineStr">
        <is>
          <t>STOCKHOLMS LÄN</t>
        </is>
      </c>
      <c r="G78" t="inlineStr">
        <is>
          <t>NYKVARN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23655-2025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45792</v>
      </c>
      <c r="E79" s="1" t="n">
        <v>46221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23284-2025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46221</v>
      </c>
      <c r="F80" t="inlineStr">
        <is>
          <t>STOCKHOLMS LÄN</t>
        </is>
      </c>
      <c r="G80" t="inlineStr">
        <is>
          <t>NYKVARN</t>
        </is>
      </c>
      <c r="H80" t="inlineStr">
        <is>
          <t>Sveaskog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S 1582-2024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45427</v>
      </c>
      <c r="E81" s="1" t="n">
        <v>46221</v>
      </c>
      <c r="F81" t="inlineStr">
        <is>
          <t>STOCKHOLMS LÄN</t>
        </is>
      </c>
      <c r="G81" t="inlineStr">
        <is>
          <t>NYKVARN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>
      <c r="A82" t="inlineStr">
        <is>
          <t>S 710-2025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45720</v>
      </c>
      <c r="E82" s="1" t="n">
        <v>46221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0.3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2026-07-18T01:22:40Z</dcterms:created>
  <dcterms:modified xmlns:dcterms="http://purl.org/dc/terms/" xmlns:xsi="http://www.w3.org/2001/XMLSchema-instance" xsi:type="dcterms:W3CDTF">2026-07-18T01:22:40Z</dcterms:modified>
</cp:coreProperties>
</file>