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46253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46253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46253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46253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46253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39539-2023 artfynd.xlsx", "A 39539-2023")</f>
        <v/>
      </c>
      <c r="X8">
        <f>HYPERLINK("https://klasma.github.io/Logging_0140/kartor/A 39539-2023 karta.png", "A 39539-2023")</f>
        <v/>
      </c>
      <c r="Y8">
        <f>HYPERLINK("https://klasma.github.io/Logging_0140/kartor_geotiff/A 39539-2023 georefererad karta.tif", "A 39539-2023")</f>
        <v/>
      </c>
      <c r="AA8">
        <f>HYPERLINK("https://klasma.github.io/Logging_0140/klagomål/A 39539-2023 FSC-klagomål.docx", "A 39539-2023")</f>
        <v/>
      </c>
      <c r="AB8">
        <f>HYPERLINK("https://klasma.github.io/Logging_0140/klagomålsmail/A 39539-2023 FSC-klagomål mail.docx", "A 39539-2023")</f>
        <v/>
      </c>
      <c r="AC8">
        <f>HYPERLINK("https://klasma.github.io/Logging_0140/tillsyn/A 39539-2023 tillsynsbegäran.docx", "A 39539-2023")</f>
        <v/>
      </c>
      <c r="AD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46253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Björksplintborre</t>
        </is>
      </c>
      <c r="W9">
        <f>HYPERLINK("https://klasma.github.io/Logging_0140/artfynd/A 11393-2022 artfynd.xlsx", "A 11393-2022")</f>
        <v/>
      </c>
      <c r="X9">
        <f>HYPERLINK("https://klasma.github.io/Logging_0140/kartor/A 11393-2022 karta.png", "A 11393-2022")</f>
        <v/>
      </c>
      <c r="Y9">
        <f>HYPERLINK("https://klasma.github.io/Logging_0140/kartor_geotiff/A 11393-2022 georefererad karta.tif", "A 11393-2022")</f>
        <v/>
      </c>
      <c r="AA9">
        <f>HYPERLINK("https://klasma.github.io/Logging_0140/klagomål/A 11393-2022 FSC-klagomål.docx", "A 11393-2022")</f>
        <v/>
      </c>
      <c r="AB9">
        <f>HYPERLINK("https://klasma.github.io/Logging_0140/klagomålsmail/A 11393-2022 FSC-klagomål mail.docx", "A 11393-2022")</f>
        <v/>
      </c>
      <c r="AC9">
        <f>HYPERLINK("https://klasma.github.io/Logging_0140/tillsyn/A 11393-2022 tillsynsbegäran.docx", "A 11393-2022")</f>
        <v/>
      </c>
      <c r="AD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46253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46253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46253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46253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46253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46253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24790-2026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46171</v>
      </c>
      <c r="E16" s="1" t="n">
        <v>46253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Kopparödla</t>
        </is>
      </c>
      <c r="W16">
        <f>HYPERLINK("https://klasma.github.io/Logging_0140/artfynd/A 24790-2026 artfynd.xlsx", "A 24790-2026")</f>
        <v/>
      </c>
      <c r="X16">
        <f>HYPERLINK("https://klasma.github.io/Logging_0140/kartor/A 24790-2026 karta.png", "A 24790-2026")</f>
        <v/>
      </c>
      <c r="Y16">
        <f>HYPERLINK("https://klasma.github.io/Logging_0140/kartor_geotiff/A 24790-2026 georefererad karta.tif", "A 24790-2026")</f>
        <v/>
      </c>
      <c r="AA16">
        <f>HYPERLINK("https://klasma.github.io/Logging_0140/klagomål/A 24790-2026 FSC-klagomål.docx", "A 24790-2026")</f>
        <v/>
      </c>
      <c r="AB16">
        <f>HYPERLINK("https://klasma.github.io/Logging_0140/klagomålsmail/A 24790-2026 FSC-klagomål mail.docx", "A 24790-2026")</f>
        <v/>
      </c>
      <c r="AC16">
        <f>HYPERLINK("https://klasma.github.io/Logging_0140/tillsyn/A 24790-2026 tillsynsbegäran.docx", "A 24790-2026")</f>
        <v/>
      </c>
      <c r="AD16">
        <f>HYPERLINK("https://klasma.github.io/Logging_0140/tillsynsmail/A 24790-2026 tillsynsbegäran mail.docx", "A 24790-2026")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46253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46253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46253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46253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46253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46253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46253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46253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46253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46253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46253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46253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46253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46253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46253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46253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46253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46253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45215</v>
      </c>
      <c r="E35" s="1" t="n">
        <v>46253</v>
      </c>
      <c r="F35" t="inlineStr">
        <is>
          <t>STOCKHOLMS LÄN</t>
        </is>
      </c>
      <c r="G35" t="inlineStr">
        <is>
          <t>NYKVARN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19487-2023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45050</v>
      </c>
      <c r="E36" s="1" t="n">
        <v>46253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43230-2022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44834</v>
      </c>
      <c r="E37" s="1" t="n">
        <v>46253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52963-2022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46253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8096-2023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44974</v>
      </c>
      <c r="E39" s="1" t="n">
        <v>46253</v>
      </c>
      <c r="F39" t="inlineStr">
        <is>
          <t>STOCKHOLMS LÄN</t>
        </is>
      </c>
      <c r="G39" t="inlineStr">
        <is>
          <t>NYKVARN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46253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46253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71540-2021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44540</v>
      </c>
      <c r="E42" s="1" t="n">
        <v>46253</v>
      </c>
      <c r="F42" t="inlineStr">
        <is>
          <t>STOCKHOLMS LÄN</t>
        </is>
      </c>
      <c r="G42" t="inlineStr">
        <is>
          <t>NYKVARN</t>
        </is>
      </c>
      <c r="I42" t="n">
        <v>6.7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46253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46253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46253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53337-2023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46253</v>
      </c>
      <c r="F46" t="inlineStr">
        <is>
          <t>STOCKHOLMS LÄN</t>
        </is>
      </c>
      <c r="G46" t="inlineStr">
        <is>
          <t>NYKVARN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54670-2023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46253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51813-2024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46253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45044</v>
      </c>
      <c r="E49" s="1" t="n">
        <v>46253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22529-2022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44713</v>
      </c>
      <c r="E50" s="1" t="n">
        <v>46253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8.4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19217-2026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46253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18780-2026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46128</v>
      </c>
      <c r="E52" s="1" t="n">
        <v>46253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46253</v>
      </c>
      <c r="F53" t="inlineStr">
        <is>
          <t>STOCKHOLMS LÄN</t>
        </is>
      </c>
      <c r="G53" t="inlineStr">
        <is>
          <t>NYKVARN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46253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46253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45989</v>
      </c>
      <c r="E56" s="1" t="n">
        <v>46253</v>
      </c>
      <c r="F56" t="inlineStr">
        <is>
          <t>STOCKHOLMS LÄN</t>
        </is>
      </c>
      <c r="G56" t="inlineStr">
        <is>
          <t>NYKVARN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63586-2023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45275</v>
      </c>
      <c r="E57" s="1" t="n">
        <v>46253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46253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63592-2023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46253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24796-2026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46171</v>
      </c>
      <c r="E60" s="1" t="n">
        <v>46253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46253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46253</v>
      </c>
      <c r="F62" t="inlineStr">
        <is>
          <t>STOCKHOLMS LÄN</t>
        </is>
      </c>
      <c r="G62" t="inlineStr">
        <is>
          <t>NYKVARN</t>
        </is>
      </c>
      <c r="I62" t="n">
        <v>10.6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46253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46227</v>
      </c>
      <c r="E64" s="1" t="n">
        <v>46253</v>
      </c>
      <c r="F64" t="inlineStr">
        <is>
          <t>STOCKHOLMS LÄN</t>
        </is>
      </c>
      <c r="G64" t="inlineStr">
        <is>
          <t>NYKVARN</t>
        </is>
      </c>
      <c r="I64" t="n">
        <v>9.300000000000001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41681-2023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45173</v>
      </c>
      <c r="E65" s="1" t="n">
        <v>46253</v>
      </c>
      <c r="F65" t="inlineStr">
        <is>
          <t>STOCKHOLMS LÄN</t>
        </is>
      </c>
      <c r="G65" t="inlineStr">
        <is>
          <t>NYKVARN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31740-2026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46227</v>
      </c>
      <c r="E66" s="1" t="n">
        <v>46253</v>
      </c>
      <c r="F66" t="inlineStr">
        <is>
          <t>STOCKHOLMS LÄN</t>
        </is>
      </c>
      <c r="G66" t="inlineStr">
        <is>
          <t>NYKVARN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31731-2026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46253</v>
      </c>
      <c r="F67" t="inlineStr">
        <is>
          <t>STOCKHOLMS LÄN</t>
        </is>
      </c>
      <c r="G67" t="inlineStr">
        <is>
          <t>NYKVARN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19903-2023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46253</v>
      </c>
      <c r="F68" t="inlineStr">
        <is>
          <t>STOCKHOLMS LÄN</t>
        </is>
      </c>
      <c r="G68" t="inlineStr">
        <is>
          <t>NYKVARN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46253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46253</v>
      </c>
      <c r="F70" t="inlineStr">
        <is>
          <t>STOCKHOLMS LÄN</t>
        </is>
      </c>
      <c r="G70" t="inlineStr">
        <is>
          <t>NYKVARN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44730</v>
      </c>
      <c r="E71" s="1" t="n">
        <v>46253</v>
      </c>
      <c r="F71" t="inlineStr">
        <is>
          <t>STOCKHOLMS LÄN</t>
        </is>
      </c>
      <c r="G71" t="inlineStr">
        <is>
          <t>NYKVARN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46253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44872</v>
      </c>
      <c r="E73" s="1" t="n">
        <v>46253</v>
      </c>
      <c r="F73" t="inlineStr">
        <is>
          <t>STOCKHOLMS LÄN</t>
        </is>
      </c>
      <c r="G73" t="inlineStr">
        <is>
          <t>NYKVARN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46253</v>
      </c>
      <c r="F74" t="inlineStr">
        <is>
          <t>STOCKHOLMS LÄN</t>
        </is>
      </c>
      <c r="G74" t="inlineStr">
        <is>
          <t>NYKVARN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45309</v>
      </c>
      <c r="E75" s="1" t="n">
        <v>46253</v>
      </c>
      <c r="F75" t="inlineStr">
        <is>
          <t>STOCKHOLMS LÄN</t>
        </is>
      </c>
      <c r="G75" t="inlineStr">
        <is>
          <t>NYKVARN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44973</v>
      </c>
      <c r="E76" s="1" t="n">
        <v>46253</v>
      </c>
      <c r="F76" t="inlineStr">
        <is>
          <t>STOCKHOLMS LÄN</t>
        </is>
      </c>
      <c r="G76" t="inlineStr">
        <is>
          <t>NYKVARN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44841</v>
      </c>
      <c r="E77" s="1" t="n">
        <v>46253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44630</v>
      </c>
      <c r="E78" s="1" t="n">
        <v>46253</v>
      </c>
      <c r="F78" t="inlineStr">
        <is>
          <t>STOCKHOLMS LÄN</t>
        </is>
      </c>
      <c r="G78" t="inlineStr">
        <is>
          <t>NYKVARN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46253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46253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45792</v>
      </c>
      <c r="E81" s="1" t="n">
        <v>46253</v>
      </c>
      <c r="F81" t="inlineStr">
        <is>
          <t>STOCKHOLMS LÄN</t>
        </is>
      </c>
      <c r="G81" t="inlineStr">
        <is>
          <t>NYKVARN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46253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46253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46253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2026-08-19T01:50:18Z</dcterms:created>
  <dcterms:modified xmlns:dcterms="http://purl.org/dc/terms/" xmlns:xsi="http://www.w3.org/2001/XMLSchema-instance" xsi:type="dcterms:W3CDTF">2026-08-19T01:50:18Z</dcterms:modified>
</cp:coreProperties>
</file>