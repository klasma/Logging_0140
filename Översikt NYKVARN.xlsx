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46249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46249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46249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46249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46249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46249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46249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46249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46249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46249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46249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8285-2022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44610</v>
      </c>
      <c r="E14" s="1" t="n">
        <v>46249</v>
      </c>
      <c r="F14" t="inlineStr">
        <is>
          <t>STOCKHOLMS LÄN</t>
        </is>
      </c>
      <c r="G14" t="inlineStr">
        <is>
          <t>NYKVARN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HYPERLINK("https://klasma.github.io/Logging_0140/artfynd/A 8285-2022 artfynd.xlsx", "A 8285-2022")</f>
        <v/>
      </c>
      <c r="X14">
        <f>HYPERLINK("https://klasma.github.io/Logging_0140/kartor/A 8285-2022 karta.png", "A 8285-2022")</f>
        <v/>
      </c>
      <c r="Y14">
        <f>HYPERLINK("https://klasma.github.io/Logging_0140/kartor_geotiff/A 8285-2022 georefererad karta.tif", "A 8285-2022")</f>
        <v/>
      </c>
      <c r="AA14">
        <f>HYPERLINK("https://klasma.github.io/Logging_0140/klagomål/A 8285-2022 FSC-klagomål.docx", "A 8285-2022")</f>
        <v/>
      </c>
      <c r="AB14">
        <f>HYPERLINK("https://klasma.github.io/Logging_0140/klagomålsmail/A 8285-2022 FSC-klagomål mail.docx", "A 8285-2022")</f>
        <v/>
      </c>
      <c r="AC14">
        <f>HYPERLINK("https://klasma.github.io/Logging_0140/tillsyn/A 8285-2022 tillsynsbegäran.docx", "A 8285-2022")</f>
        <v/>
      </c>
      <c r="AD14">
        <f>HYPERLINK("https://klasma.github.io/Logging_0140/tillsynsmail/A 8285-2022 tillsynsbegäran mail.docx", "A 8285-2022")</f>
        <v/>
      </c>
    </row>
    <row r="15" ht="15" customHeight="1">
      <c r="A15" t="inlineStr">
        <is>
          <t>A 25754-2023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45084</v>
      </c>
      <c r="E15" s="1" t="n">
        <v>46249</v>
      </c>
      <c r="F15" t="inlineStr">
        <is>
          <t>STOCKHOLMS LÄN</t>
        </is>
      </c>
      <c r="G15" t="inlineStr">
        <is>
          <t>NYKVARN</t>
        </is>
      </c>
      <c r="I15" t="n">
        <v>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Trana</t>
        </is>
      </c>
      <c r="W15">
        <f>HYPERLINK("https://klasma.github.io/Logging_0140/artfynd/A 25754-2023 artfynd.xlsx", "A 25754-2023")</f>
        <v/>
      </c>
      <c r="X15">
        <f>HYPERLINK("https://klasma.github.io/Logging_0140/kartor/A 25754-2023 karta.png", "A 25754-2023")</f>
        <v/>
      </c>
      <c r="Y15">
        <f>HYPERLINK("https://klasma.github.io/Logging_0140/kartor_geotiff/A 25754-2023 georefererad karta.tif", "A 25754-2023")</f>
        <v/>
      </c>
      <c r="AA15">
        <f>HYPERLINK("https://klasma.github.io/Logging_0140/klagomål/A 25754-2023 FSC-klagomål.docx", "A 25754-2023")</f>
        <v/>
      </c>
      <c r="AB15">
        <f>HYPERLINK("https://klasma.github.io/Logging_0140/klagomålsmail/A 25754-2023 FSC-klagomål mail.docx", "A 25754-2023")</f>
        <v/>
      </c>
      <c r="AC15">
        <f>HYPERLINK("https://klasma.github.io/Logging_0140/tillsyn/A 25754-2023 tillsynsbegäran.docx", "A 25754-2023")</f>
        <v/>
      </c>
      <c r="AD15">
        <f>HYPERLINK("https://klasma.github.io/Logging_0140/tillsynsmail/A 25754-2023 tillsynsbegäran mail.docx", "A 25754-2023")</f>
        <v/>
      </c>
      <c r="AE15">
        <f>HYPERLINK("https://klasma.github.io/Logging_0140/fåglar/A 25754-2023 prioriterade fågelarter.docx", "A 25754-2023")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46249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23279-2025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46249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23279-2025 artfynd.xlsx", "A 23279-2025")</f>
        <v/>
      </c>
      <c r="X17">
        <f>HYPERLINK("https://klasma.github.io/Logging_0140/kartor/A 23279-2025 karta.png", "A 23279-2025")</f>
        <v/>
      </c>
      <c r="Y17">
        <f>HYPERLINK("https://klasma.github.io/Logging_0140/kartor_geotiff/A 23279-2025 georefererad karta.tif", "A 23279-2025")</f>
        <v/>
      </c>
      <c r="AA17">
        <f>HYPERLINK("https://klasma.github.io/Logging_0140/klagomål/A 23279-2025 FSC-klagomål.docx", "A 23279-2025")</f>
        <v/>
      </c>
      <c r="AB17">
        <f>HYPERLINK("https://klasma.github.io/Logging_0140/klagomålsmail/A 23279-2025 FSC-klagomål mail.docx", "A 23279-2025")</f>
        <v/>
      </c>
      <c r="AC17">
        <f>HYPERLINK("https://klasma.github.io/Logging_0140/tillsyn/A 23279-2025 tillsynsbegäran.docx", "A 23279-2025")</f>
        <v/>
      </c>
      <c r="AD17">
        <f>HYPERLINK("https://klasma.github.io/Logging_0140/tillsynsmail/A 23279-2025 tillsynsbegäran mail.docx", "A 23279-2025")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46249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46249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46249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46249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46249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46249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46249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46249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46249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46249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46249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46249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46249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63400-2023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45274</v>
      </c>
      <c r="E31" s="1" t="n">
        <v>46249</v>
      </c>
      <c r="F31" t="inlineStr">
        <is>
          <t>STOCKHOLMS LÄN</t>
        </is>
      </c>
      <c r="G31" t="inlineStr">
        <is>
          <t>NYKVARN</t>
        </is>
      </c>
      <c r="H31" t="inlineStr">
        <is>
          <t>Kommuner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46249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46249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41681-2023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46249</v>
      </c>
      <c r="F34" t="inlineStr">
        <is>
          <t>STOCKHOLMS LÄN</t>
        </is>
      </c>
      <c r="G34" t="inlineStr">
        <is>
          <t>NYKVARN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67220-2021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44523</v>
      </c>
      <c r="E35" s="1" t="n">
        <v>46249</v>
      </c>
      <c r="F35" t="inlineStr">
        <is>
          <t>STOCKHOLMS LÄN</t>
        </is>
      </c>
      <c r="G35" t="inlineStr">
        <is>
          <t>NYKVARN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44635</v>
      </c>
      <c r="E36" s="1" t="n">
        <v>46249</v>
      </c>
      <c r="F36" t="inlineStr">
        <is>
          <t>STOCKHOLMS LÄN</t>
        </is>
      </c>
      <c r="G36" t="inlineStr">
        <is>
          <t>NYKVARN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8096-2023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44974</v>
      </c>
      <c r="E37" s="1" t="n">
        <v>46249</v>
      </c>
      <c r="F37" t="inlineStr">
        <is>
          <t>STOCKHOLMS LÄN</t>
        </is>
      </c>
      <c r="G37" t="inlineStr">
        <is>
          <t>NYKVARN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46249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44713</v>
      </c>
      <c r="E39" s="1" t="n">
        <v>46249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46249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46249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46249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46249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46249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71540-2021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44540</v>
      </c>
      <c r="E45" s="1" t="n">
        <v>46249</v>
      </c>
      <c r="F45" t="inlineStr">
        <is>
          <t>STOCKHOLMS LÄN</t>
        </is>
      </c>
      <c r="G45" t="inlineStr">
        <is>
          <t>NYKVARN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46249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45054</v>
      </c>
      <c r="E47" s="1" t="n">
        <v>46249</v>
      </c>
      <c r="F47" t="inlineStr">
        <is>
          <t>STOCKHOLMS LÄN</t>
        </is>
      </c>
      <c r="G47" t="inlineStr">
        <is>
          <t>NYKVARN</t>
        </is>
      </c>
      <c r="I47" t="n">
        <v>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45243</v>
      </c>
      <c r="E48" s="1" t="n">
        <v>46249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50020-2023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46249</v>
      </c>
      <c r="F49" t="inlineStr">
        <is>
          <t>STOCKHOLMS LÄN</t>
        </is>
      </c>
      <c r="G49" t="inlineStr">
        <is>
          <t>NYKVARN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46249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46249</v>
      </c>
      <c r="F51" t="inlineStr">
        <is>
          <t>STOCKHOLMS LÄN</t>
        </is>
      </c>
      <c r="G51" t="inlineStr">
        <is>
          <t>NYKVARN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46249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44730</v>
      </c>
      <c r="E53" s="1" t="n">
        <v>46249</v>
      </c>
      <c r="F53" t="inlineStr">
        <is>
          <t>STOCKHOLMS LÄN</t>
        </is>
      </c>
      <c r="G53" t="inlineStr">
        <is>
          <t>NYKVARN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51813-2024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46249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45989</v>
      </c>
      <c r="E55" s="1" t="n">
        <v>46249</v>
      </c>
      <c r="F55" t="inlineStr">
        <is>
          <t>STOCKHOLMS LÄN</t>
        </is>
      </c>
      <c r="G55" t="inlineStr">
        <is>
          <t>NYKVARN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45044</v>
      </c>
      <c r="E56" s="1" t="n">
        <v>46249</v>
      </c>
      <c r="F56" t="inlineStr">
        <is>
          <t>STOCKHOLMS LÄN</t>
        </is>
      </c>
      <c r="G56" t="inlineStr">
        <is>
          <t>NYKVARN</t>
        </is>
      </c>
      <c r="H56" t="inlineStr">
        <is>
          <t>Kyrkan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44713</v>
      </c>
      <c r="E57" s="1" t="n">
        <v>46249</v>
      </c>
      <c r="F57" t="inlineStr">
        <is>
          <t>STOCKHOLMS LÄN</t>
        </is>
      </c>
      <c r="G57" t="inlineStr">
        <is>
          <t>NYKVARN</t>
        </is>
      </c>
      <c r="H57" t="inlineStr">
        <is>
          <t>Allmännings- och besparingsskogar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46249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46249</v>
      </c>
      <c r="F59" t="inlineStr">
        <is>
          <t>STOCKHOLMS LÄN</t>
        </is>
      </c>
      <c r="G59" t="inlineStr">
        <is>
          <t>NYKVARN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46249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46249</v>
      </c>
      <c r="F61" t="inlineStr">
        <is>
          <t>STOCKHOLMS LÄN</t>
        </is>
      </c>
      <c r="G61" t="inlineStr">
        <is>
          <t>NYKVARN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46249</v>
      </c>
      <c r="F62" t="inlineStr">
        <is>
          <t>STOCKHOLMS LÄN</t>
        </is>
      </c>
      <c r="G62" t="inlineStr">
        <is>
          <t>NYKVARN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45309</v>
      </c>
      <c r="E63" s="1" t="n">
        <v>46249</v>
      </c>
      <c r="F63" t="inlineStr">
        <is>
          <t>STOCKHOLMS LÄN</t>
        </is>
      </c>
      <c r="G63" t="inlineStr">
        <is>
          <t>NYKVARN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46249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51787-2021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46249</v>
      </c>
      <c r="F65" t="inlineStr">
        <is>
          <t>STOCKHOLMS LÄN</t>
        </is>
      </c>
      <c r="G65" t="inlineStr">
        <is>
          <t>NYKVARN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46249</v>
      </c>
      <c r="F66" t="inlineStr">
        <is>
          <t>STOCKHOLMS LÄN</t>
        </is>
      </c>
      <c r="G66" t="inlineStr">
        <is>
          <t>NYKVARN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46249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11.3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46249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44630</v>
      </c>
      <c r="E69" s="1" t="n">
        <v>46249</v>
      </c>
      <c r="F69" t="inlineStr">
        <is>
          <t>STOCKHOLMS LÄN</t>
        </is>
      </c>
      <c r="G69" t="inlineStr">
        <is>
          <t>NYKVARN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46249</v>
      </c>
      <c r="F70" t="inlineStr">
        <is>
          <t>STOCKHOLMS LÄN</t>
        </is>
      </c>
      <c r="G70" t="inlineStr">
        <is>
          <t>NYKVARN</t>
        </is>
      </c>
      <c r="H70" t="inlineStr">
        <is>
          <t>Sveaskog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63586-2023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45275</v>
      </c>
      <c r="E71" s="1" t="n">
        <v>46249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32555-2023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45121</v>
      </c>
      <c r="E72" s="1" t="n">
        <v>46249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45309</v>
      </c>
      <c r="E73" s="1" t="n">
        <v>46249</v>
      </c>
      <c r="F73" t="inlineStr">
        <is>
          <t>STOCKHOLMS LÄN</t>
        </is>
      </c>
      <c r="G73" t="inlineStr">
        <is>
          <t>NYKVARN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46249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46171</v>
      </c>
      <c r="E75" s="1" t="n">
        <v>46249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45791</v>
      </c>
      <c r="E76" s="1" t="n">
        <v>46249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46249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45874</v>
      </c>
      <c r="E78" s="1" t="n">
        <v>46249</v>
      </c>
      <c r="F78" t="inlineStr">
        <is>
          <t>STOCKHOLMS LÄN</t>
        </is>
      </c>
      <c r="G78" t="inlineStr">
        <is>
          <t>NYKVARN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46249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46249</v>
      </c>
      <c r="F80" t="inlineStr">
        <is>
          <t>STOCKHOLMS LÄN</t>
        </is>
      </c>
      <c r="G80" t="inlineStr">
        <is>
          <t>NYKVARN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46249</v>
      </c>
      <c r="F81" t="inlineStr">
        <is>
          <t>STOCKHOLMS LÄN</t>
        </is>
      </c>
      <c r="G81" t="inlineStr">
        <is>
          <t>NYKVARN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45756</v>
      </c>
      <c r="E82" s="1" t="n">
        <v>46249</v>
      </c>
      <c r="F82" t="inlineStr">
        <is>
          <t>STOCKHOLMS LÄN</t>
        </is>
      </c>
      <c r="G82" t="inlineStr">
        <is>
          <t>NYKVARN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46249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46249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2026-08-15T08:29:23Z</dcterms:created>
  <dcterms:modified xmlns:dcterms="http://purl.org/dc/terms/" xmlns:xsi="http://www.w3.org/2001/XMLSchema-instance" xsi:type="dcterms:W3CDTF">2026-08-15T08:29:23Z</dcterms:modified>
</cp:coreProperties>
</file>