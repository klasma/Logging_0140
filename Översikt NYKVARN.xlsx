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46162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46162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46162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46162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17009-2026</t>
        </is>
      </c>
      <c r="B9" s="1" t="n">
        <v>46114.43309027778</v>
      </c>
      <c r="C9" s="1" t="n">
        <v>46162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8.699999999999999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HYPERLINK("https://klasma.github.io/Logging_0140/artfynd/A 17009-2026 artfynd.xlsx", "A 17009-2026")</f>
        <v/>
      </c>
      <c r="T9">
        <f>HYPERLINK("https://klasma.github.io/Logging_0140/kartor/A 17009-2026 karta.png", "A 17009-2026")</f>
        <v/>
      </c>
      <c r="V9">
        <f>HYPERLINK("https://klasma.github.io/Logging_0140/klagomål/A 17009-2026 FSC-klagomål.docx", "A 17009-2026")</f>
        <v/>
      </c>
      <c r="W9">
        <f>HYPERLINK("https://klasma.github.io/Logging_0140/klagomålsmail/A 17009-2026 FSC-klagomål mail.docx", "A 17009-2026")</f>
        <v/>
      </c>
      <c r="X9">
        <f>HYPERLINK("https://klasma.github.io/Logging_0140/tillsyn/A 17009-2026 tillsynsbegäran.docx", "A 17009-2026")</f>
        <v/>
      </c>
      <c r="Y9">
        <f>HYPERLINK("https://klasma.github.io/Logging_0140/tillsynsmail/A 17009-2026 tillsynsbegäran mail.docx", "A 17009-2026")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46162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46162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46162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46162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46162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46162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46162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46162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46162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46162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46162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46162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46162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46162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46162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46162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50031-2023</t>
        </is>
      </c>
      <c r="B29" s="1" t="n">
        <v>45215.48474537037</v>
      </c>
      <c r="C29" s="1" t="n">
        <v>46162</v>
      </c>
      <c r="D29" t="inlineStr">
        <is>
          <t>STOCKHOLMS LÄN</t>
        </is>
      </c>
      <c r="E29" t="inlineStr">
        <is>
          <t>NYKVARN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19487-2023</t>
        </is>
      </c>
      <c r="B30" s="1" t="n">
        <v>45050</v>
      </c>
      <c r="C30" s="1" t="n">
        <v>46162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46162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46162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46162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46162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46162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46162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46162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71540-2021</t>
        </is>
      </c>
      <c r="B38" s="1" t="n">
        <v>44540</v>
      </c>
      <c r="C38" s="1" t="n">
        <v>46162</v>
      </c>
      <c r="D38" t="inlineStr">
        <is>
          <t>STOCKHOLMS LÄN</t>
        </is>
      </c>
      <c r="E38" t="inlineStr">
        <is>
          <t>NYKVARN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46162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46162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53337-2023</t>
        </is>
      </c>
      <c r="B41" s="1" t="n">
        <v>45229.63960648148</v>
      </c>
      <c r="C41" s="1" t="n">
        <v>46162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54670-2023</t>
        </is>
      </c>
      <c r="B42" s="1" t="n">
        <v>45235</v>
      </c>
      <c r="C42" s="1" t="n">
        <v>46162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38535-2025</t>
        </is>
      </c>
      <c r="B43" s="1" t="n">
        <v>45884.41943287037</v>
      </c>
      <c r="C43" s="1" t="n">
        <v>46162</v>
      </c>
      <c r="D43" t="inlineStr">
        <is>
          <t>STOCKHOLMS LÄN</t>
        </is>
      </c>
      <c r="E43" t="inlineStr">
        <is>
          <t>NYKVARN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51813-2024</t>
        </is>
      </c>
      <c r="B44" s="1" t="n">
        <v>45607.48734953703</v>
      </c>
      <c r="C44" s="1" t="n">
        <v>46162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46162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22529-2022</t>
        </is>
      </c>
      <c r="B46" s="1" t="n">
        <v>44713</v>
      </c>
      <c r="C46" s="1" t="n">
        <v>46162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46162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46162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25754-2023</t>
        </is>
      </c>
      <c r="B49" s="1" t="n">
        <v>45084</v>
      </c>
      <c r="C49" s="1" t="n">
        <v>46162</v>
      </c>
      <c r="D49" t="inlineStr">
        <is>
          <t>STOCKHOLMS LÄN</t>
        </is>
      </c>
      <c r="E49" t="inlineStr">
        <is>
          <t>NYKVARN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46162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46162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63586-2023</t>
        </is>
      </c>
      <c r="B52" s="1" t="n">
        <v>45275</v>
      </c>
      <c r="C52" s="1" t="n">
        <v>46162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32555-2023</t>
        </is>
      </c>
      <c r="B53" s="1" t="n">
        <v>45121.43032407408</v>
      </c>
      <c r="C53" s="1" t="n">
        <v>46162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46162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63592-2023</t>
        </is>
      </c>
      <c r="B55" s="1" t="n">
        <v>45275</v>
      </c>
      <c r="C55" s="1" t="n">
        <v>46162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46162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6876-2022</t>
        </is>
      </c>
      <c r="B57" s="1" t="n">
        <v>44602</v>
      </c>
      <c r="C57" s="1" t="n">
        <v>46162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46162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46162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41681-2023</t>
        </is>
      </c>
      <c r="B60" s="1" t="n">
        <v>45173</v>
      </c>
      <c r="C60" s="1" t="n">
        <v>46162</v>
      </c>
      <c r="D60" t="inlineStr">
        <is>
          <t>STOCKHOLMS LÄN</t>
        </is>
      </c>
      <c r="E60" t="inlineStr">
        <is>
          <t>NYKVARN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46162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46162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11045-2026</t>
        </is>
      </c>
      <c r="B63" s="1" t="n">
        <v>46079.58353009259</v>
      </c>
      <c r="C63" s="1" t="n">
        <v>46162</v>
      </c>
      <c r="D63" t="inlineStr">
        <is>
          <t>STOCKHOLMS LÄN</t>
        </is>
      </c>
      <c r="E63" t="inlineStr">
        <is>
          <t>NYKVARN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46162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46162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18780-2026</t>
        </is>
      </c>
      <c r="B66" s="1" t="n">
        <v>46128.58193287037</v>
      </c>
      <c r="C66" s="1" t="n">
        <v>46162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19216-2026</t>
        </is>
      </c>
      <c r="B67" s="1" t="n">
        <v>46132.62922453704</v>
      </c>
      <c r="C67" s="1" t="n">
        <v>46162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19217-2026</t>
        </is>
      </c>
      <c r="B68" s="1" t="n">
        <v>46132.63274305555</v>
      </c>
      <c r="C68" s="1" t="n">
        <v>46162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46162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52878-2022</t>
        </is>
      </c>
      <c r="B70" s="1" t="n">
        <v>44872</v>
      </c>
      <c r="C70" s="1" t="n">
        <v>46162</v>
      </c>
      <c r="D70" t="inlineStr">
        <is>
          <t>STOCKHOLMS LÄN</t>
        </is>
      </c>
      <c r="E70" t="inlineStr">
        <is>
          <t>NYKVARN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44725.79453703704</v>
      </c>
      <c r="C71" s="1" t="n">
        <v>46162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2172-2024</t>
        </is>
      </c>
      <c r="B72" s="1" t="n">
        <v>45309.63112268518</v>
      </c>
      <c r="C72" s="1" t="n">
        <v>46162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15912-2026</t>
        </is>
      </c>
      <c r="B73" s="1" t="n">
        <v>46107.64332175926</v>
      </c>
      <c r="C73" s="1" t="n">
        <v>46162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44973.6502662037</v>
      </c>
      <c r="C74" s="1" t="n">
        <v>46162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46162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46162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46162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46162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23655-2025</t>
        </is>
      </c>
      <c r="B79" s="1" t="n">
        <v>45792</v>
      </c>
      <c r="C79" s="1" t="n">
        <v>46162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23284-2025</t>
        </is>
      </c>
      <c r="B80" s="1" t="n">
        <v>45791.57525462963</v>
      </c>
      <c r="C80" s="1" t="n">
        <v>46162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26755-2025</t>
        </is>
      </c>
      <c r="B81" s="1" t="n">
        <v>45810.55623842592</v>
      </c>
      <c r="C81" s="1" t="n">
        <v>46162</v>
      </c>
      <c r="D81" t="inlineStr">
        <is>
          <t>STOCKHOLMS LÄN</t>
        </is>
      </c>
      <c r="E81" t="inlineStr">
        <is>
          <t>NYKVARN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26763-2025</t>
        </is>
      </c>
      <c r="B82" s="1" t="n">
        <v>45810.56418981482</v>
      </c>
      <c r="C82" s="1" t="n">
        <v>46162</v>
      </c>
      <c r="D82" t="inlineStr">
        <is>
          <t>STOCKHOLMS LÄN</t>
        </is>
      </c>
      <c r="E82" t="inlineStr">
        <is>
          <t>NYKVARN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28607-2025</t>
        </is>
      </c>
      <c r="B83" s="1" t="n">
        <v>45819.60226851852</v>
      </c>
      <c r="C83" s="1" t="n">
        <v>46162</v>
      </c>
      <c r="D83" t="inlineStr">
        <is>
          <t>STOCKHOLMS LÄN</t>
        </is>
      </c>
      <c r="E83" t="inlineStr">
        <is>
          <t>NYKVARN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28598-2025</t>
        </is>
      </c>
      <c r="B84" s="1" t="n">
        <v>45819.59659722223</v>
      </c>
      <c r="C84" s="1" t="n">
        <v>46162</v>
      </c>
      <c r="D84" t="inlineStr">
        <is>
          <t>STOCKHOLMS LÄN</t>
        </is>
      </c>
      <c r="E84" t="inlineStr">
        <is>
          <t>NYKVARN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2026-05-20T10:58:29Z</dcterms:created>
  <dcterms:modified xmlns:dcterms="http://purl.org/dc/terms/" xmlns:xsi="http://www.w3.org/2001/XMLSchema-instance" xsi:type="dcterms:W3CDTF">2026-05-20T10:58:29Z</dcterms:modified>
</cp:coreProperties>
</file>