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46085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46085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2423-2026</t>
        </is>
      </c>
      <c r="B7" s="1" t="n">
        <v>46034</v>
      </c>
      <c r="C7" s="1" t="n">
        <v>46085</v>
      </c>
      <c r="D7" t="inlineStr">
        <is>
          <t>STOCKHOLMS LÄN</t>
        </is>
      </c>
      <c r="E7" t="inlineStr">
        <is>
          <t>NYKVARN</t>
        </is>
      </c>
      <c r="G7" t="n">
        <v>11.8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HYPERLINK("https://klasma.github.io/Logging_0140/artfynd/A 2423-2026 artfynd.xlsx", "A 2423-2026")</f>
        <v/>
      </c>
      <c r="T7">
        <f>HYPERLINK("https://klasma.github.io/Logging_0140/kartor/A 2423-2026 karta.png", "A 2423-2026")</f>
        <v/>
      </c>
      <c r="U7">
        <f>HYPERLINK("https://klasma.github.io/Logging_0140/knärot/A 2423-2026 karta knärot.png", "A 2423-2026")</f>
        <v/>
      </c>
      <c r="V7">
        <f>HYPERLINK("https://klasma.github.io/Logging_0140/klagomål/A 2423-2026 FSC-klagomål.docx", "A 2423-2026")</f>
        <v/>
      </c>
      <c r="W7">
        <f>HYPERLINK("https://klasma.github.io/Logging_0140/klagomålsmail/A 2423-2026 FSC-klagomål mail.docx", "A 2423-2026")</f>
        <v/>
      </c>
      <c r="X7">
        <f>HYPERLINK("https://klasma.github.io/Logging_0140/tillsyn/A 2423-2026 tillsynsbegäran.docx", "A 2423-2026")</f>
        <v/>
      </c>
      <c r="Y7">
        <f>HYPERLINK("https://klasma.github.io/Logging_0140/tillsynsmail/A 2423-2026 tillsynsbegäran mail.docx", "A 2423-2026")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46085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46085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46085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11388-2024</t>
        </is>
      </c>
      <c r="B11" s="1" t="n">
        <v>45372.44967592593</v>
      </c>
      <c r="C11" s="1" t="n">
        <v>46085</v>
      </c>
      <c r="D11" t="inlineStr">
        <is>
          <t>STOCKHOLMS LÄN</t>
        </is>
      </c>
      <c r="E11" t="inlineStr">
        <is>
          <t>NYKVARN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11388-2024 artfynd.xlsx", "A 11388-2024")</f>
        <v/>
      </c>
      <c r="T11">
        <f>HYPERLINK("https://klasma.github.io/Logging_0140/kartor/A 11388-2024 karta.png", "A 11388-2024")</f>
        <v/>
      </c>
      <c r="V11">
        <f>HYPERLINK("https://klasma.github.io/Logging_0140/klagomål/A 11388-2024 FSC-klagomål.docx", "A 11388-2024")</f>
        <v/>
      </c>
      <c r="W11">
        <f>HYPERLINK("https://klasma.github.io/Logging_0140/klagomålsmail/A 11388-2024 FSC-klagomål mail.docx", "A 11388-2024")</f>
        <v/>
      </c>
      <c r="X11">
        <f>HYPERLINK("https://klasma.github.io/Logging_0140/tillsyn/A 11388-2024 tillsynsbegäran.docx", "A 11388-2024")</f>
        <v/>
      </c>
      <c r="Y11">
        <f>HYPERLINK("https://klasma.github.io/Logging_0140/tillsynsmail/A 11388-2024 tillsynsbegäran mail.docx", "A 11388-2024")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46085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46085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46085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46085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46085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46085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46085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46085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46085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46085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46085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46085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46085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25754-2023</t>
        </is>
      </c>
      <c r="B28" s="1" t="n">
        <v>45084</v>
      </c>
      <c r="C28" s="1" t="n">
        <v>46085</v>
      </c>
      <c r="D28" t="inlineStr">
        <is>
          <t>STOCKHOLMS LÄN</t>
        </is>
      </c>
      <c r="E28" t="inlineStr">
        <is>
          <t>NYKVARN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46085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44947-2021</t>
        </is>
      </c>
      <c r="B30" s="1" t="n">
        <v>44438.69939814815</v>
      </c>
      <c r="C30" s="1" t="n">
        <v>46085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54583-2023</t>
        </is>
      </c>
      <c r="B31" s="1" t="n">
        <v>45233</v>
      </c>
      <c r="C31" s="1" t="n">
        <v>46085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22531-2022</t>
        </is>
      </c>
      <c r="B32" s="1" t="n">
        <v>44713</v>
      </c>
      <c r="C32" s="1" t="n">
        <v>46085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45215.48474537037</v>
      </c>
      <c r="C33" s="1" t="n">
        <v>46085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46085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46085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43230-2022</t>
        </is>
      </c>
      <c r="B36" s="1" t="n">
        <v>44834</v>
      </c>
      <c r="C36" s="1" t="n">
        <v>46085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63586-2023</t>
        </is>
      </c>
      <c r="B37" s="1" t="n">
        <v>45275</v>
      </c>
      <c r="C37" s="1" t="n">
        <v>46085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46085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63592-2023</t>
        </is>
      </c>
      <c r="B39" s="1" t="n">
        <v>45275</v>
      </c>
      <c r="C39" s="1" t="n">
        <v>46085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46085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52963-2022</t>
        </is>
      </c>
      <c r="B41" s="1" t="n">
        <v>44875</v>
      </c>
      <c r="C41" s="1" t="n">
        <v>46085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6876-2022</t>
        </is>
      </c>
      <c r="B42" s="1" t="n">
        <v>44602</v>
      </c>
      <c r="C42" s="1" t="n">
        <v>46085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11045-2026</t>
        </is>
      </c>
      <c r="B43" s="1" t="n">
        <v>46079.58353009259</v>
      </c>
      <c r="C43" s="1" t="n">
        <v>46085</v>
      </c>
      <c r="D43" t="inlineStr">
        <is>
          <t>STOCKHOLMS LÄN</t>
        </is>
      </c>
      <c r="E43" t="inlineStr">
        <is>
          <t>NYKVARN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46085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46085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17328-2025</t>
        </is>
      </c>
      <c r="B46" s="1" t="n">
        <v>45756.64081018518</v>
      </c>
      <c r="C46" s="1" t="n">
        <v>46085</v>
      </c>
      <c r="D46" t="inlineStr">
        <is>
          <t>STOCKHOLMS LÄN</t>
        </is>
      </c>
      <c r="E46" t="inlineStr">
        <is>
          <t>NYKVARN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40168-2023</t>
        </is>
      </c>
      <c r="B47" s="1" t="n">
        <v>45169.38591435185</v>
      </c>
      <c r="C47" s="1" t="n">
        <v>46085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39539-2023</t>
        </is>
      </c>
      <c r="B48" s="1" t="n">
        <v>45167</v>
      </c>
      <c r="C48" s="1" t="n">
        <v>46085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63400-2023</t>
        </is>
      </c>
      <c r="B49" s="1" t="n">
        <v>45274</v>
      </c>
      <c r="C49" s="1" t="n">
        <v>46085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46085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46085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46085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60324-2022</t>
        </is>
      </c>
      <c r="B53" s="1" t="n">
        <v>44910.59086805556</v>
      </c>
      <c r="C53" s="1" t="n">
        <v>46085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46085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56639-2023</t>
        </is>
      </c>
      <c r="B55" s="1" t="n">
        <v>45243.72300925926</v>
      </c>
      <c r="C55" s="1" t="n">
        <v>46085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50020-2023</t>
        </is>
      </c>
      <c r="B56" s="1" t="n">
        <v>45215.46996527778</v>
      </c>
      <c r="C56" s="1" t="n">
        <v>46085</v>
      </c>
      <c r="D56" t="inlineStr">
        <is>
          <t>STOCKHOLMS LÄN</t>
        </is>
      </c>
      <c r="E56" t="inlineStr">
        <is>
          <t>NYKVARN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53307-2023</t>
        </is>
      </c>
      <c r="B57" s="1" t="n">
        <v>45229</v>
      </c>
      <c r="C57" s="1" t="n">
        <v>46085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53337-2023</t>
        </is>
      </c>
      <c r="B58" s="1" t="n">
        <v>45229.63960648148</v>
      </c>
      <c r="C58" s="1" t="n">
        <v>46085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25278-2022</t>
        </is>
      </c>
      <c r="B59" s="1" t="n">
        <v>44730</v>
      </c>
      <c r="C59" s="1" t="n">
        <v>46085</v>
      </c>
      <c r="D59" t="inlineStr">
        <is>
          <t>STOCKHOLMS LÄN</t>
        </is>
      </c>
      <c r="E59" t="inlineStr">
        <is>
          <t>NYKVARN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54670-2023</t>
        </is>
      </c>
      <c r="B60" s="1" t="n">
        <v>45235</v>
      </c>
      <c r="C60" s="1" t="n">
        <v>46085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59342-2025</t>
        </is>
      </c>
      <c r="B61" s="1" t="n">
        <v>45989.38784722222</v>
      </c>
      <c r="C61" s="1" t="n">
        <v>46085</v>
      </c>
      <c r="D61" t="inlineStr">
        <is>
          <t>STOCKHOLMS LÄN</t>
        </is>
      </c>
      <c r="E61" t="inlineStr">
        <is>
          <t>NYKVARN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59348-2025</t>
        </is>
      </c>
      <c r="B62" s="1" t="n">
        <v>45989.40099537037</v>
      </c>
      <c r="C62" s="1" t="n">
        <v>46085</v>
      </c>
      <c r="D62" t="inlineStr">
        <is>
          <t>STOCKHOLMS LÄN</t>
        </is>
      </c>
      <c r="E62" t="inlineStr">
        <is>
          <t>NYKVARN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6854-2022</t>
        </is>
      </c>
      <c r="B63" s="1" t="n">
        <v>44602</v>
      </c>
      <c r="C63" s="1" t="n">
        <v>46085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46085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52878-2022</t>
        </is>
      </c>
      <c r="B65" s="1" t="n">
        <v>44872</v>
      </c>
      <c r="C65" s="1" t="n">
        <v>46085</v>
      </c>
      <c r="D65" t="inlineStr">
        <is>
          <t>STOCKHOLMS LÄN</t>
        </is>
      </c>
      <c r="E65" t="inlineStr">
        <is>
          <t>NYKVARN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24283-2022</t>
        </is>
      </c>
      <c r="B66" s="1" t="n">
        <v>44725.79453703704</v>
      </c>
      <c r="C66" s="1" t="n">
        <v>46085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2172-2024</t>
        </is>
      </c>
      <c r="B67" s="1" t="n">
        <v>45309.63112268518</v>
      </c>
      <c r="C67" s="1" t="n">
        <v>46085</v>
      </c>
      <c r="D67" t="inlineStr">
        <is>
          <t>STOCKHOLMS LÄN</t>
        </is>
      </c>
      <c r="E67" t="inlineStr">
        <is>
          <t>NYKVARN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18793-2023</t>
        </is>
      </c>
      <c r="B68" s="1" t="n">
        <v>45044</v>
      </c>
      <c r="C68" s="1" t="n">
        <v>46085</v>
      </c>
      <c r="D68" t="inlineStr">
        <is>
          <t>STOCKHOLMS LÄN</t>
        </is>
      </c>
      <c r="E68" t="inlineStr">
        <is>
          <t>NYKVARN</t>
        </is>
      </c>
      <c r="F68" t="inlineStr">
        <is>
          <t>Kyrkan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46085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46085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20711-2021</t>
        </is>
      </c>
      <c r="B71" s="1" t="n">
        <v>44316</v>
      </c>
      <c r="C71" s="1" t="n">
        <v>46085</v>
      </c>
      <c r="D71" t="inlineStr">
        <is>
          <t>STOCKHOLMS LÄN</t>
        </is>
      </c>
      <c r="E71" t="inlineStr">
        <is>
          <t>NYKVARN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23152-2021</t>
        </is>
      </c>
      <c r="B72" s="1" t="n">
        <v>44332</v>
      </c>
      <c r="C72" s="1" t="n">
        <v>46085</v>
      </c>
      <c r="D72" t="inlineStr">
        <is>
          <t>STOCKHOLMS LÄN</t>
        </is>
      </c>
      <c r="E72" t="inlineStr">
        <is>
          <t>NYKVARN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44969-2022</t>
        </is>
      </c>
      <c r="B73" s="1" t="n">
        <v>44841.58752314815</v>
      </c>
      <c r="C73" s="1" t="n">
        <v>46085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11430-2022</t>
        </is>
      </c>
      <c r="B74" s="1" t="n">
        <v>44630.5968287037</v>
      </c>
      <c r="C74" s="1" t="n">
        <v>46085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18222-2025</t>
        </is>
      </c>
      <c r="B75" s="1" t="n">
        <v>45761.7321875</v>
      </c>
      <c r="C75" s="1" t="n">
        <v>46085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51787-2021</t>
        </is>
      </c>
      <c r="B76" s="1" t="n">
        <v>44462</v>
      </c>
      <c r="C76" s="1" t="n">
        <v>46085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46085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23655-2025</t>
        </is>
      </c>
      <c r="B78" s="1" t="n">
        <v>45792</v>
      </c>
      <c r="C78" s="1" t="n">
        <v>46085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46085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26755-2025</t>
        </is>
      </c>
      <c r="B80" s="1" t="n">
        <v>45810.55623842592</v>
      </c>
      <c r="C80" s="1" t="n">
        <v>46085</v>
      </c>
      <c r="D80" t="inlineStr">
        <is>
          <t>STOCKHOLMS LÄN</t>
        </is>
      </c>
      <c r="E80" t="inlineStr">
        <is>
          <t>NYKVARN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46085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28607-2025</t>
        </is>
      </c>
      <c r="B82" s="1" t="n">
        <v>45819.60226851852</v>
      </c>
      <c r="C82" s="1" t="n">
        <v>46085</v>
      </c>
      <c r="D82" t="inlineStr">
        <is>
          <t>STOCKHOLMS LÄN</t>
        </is>
      </c>
      <c r="E82" t="inlineStr">
        <is>
          <t>NYKVARN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28598-2025</t>
        </is>
      </c>
      <c r="B83" s="1" t="n">
        <v>45819.59659722223</v>
      </c>
      <c r="C83" s="1" t="n">
        <v>46085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2026-03-04T11:11:51Z</dcterms:created>
  <dcterms:modified xmlns:dcterms="http://purl.org/dc/terms/" xmlns:xsi="http://www.w3.org/2001/XMLSchema-instance" xsi:type="dcterms:W3CDTF">2026-03-04T11:11:51Z</dcterms:modified>
</cp:coreProperties>
</file>