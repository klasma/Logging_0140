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46002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46002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46002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46002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57389-2024</t>
        </is>
      </c>
      <c r="B6" s="1" t="n">
        <v>45629.68615740741</v>
      </c>
      <c r="C6" s="1" t="n">
        <v>46002</v>
      </c>
      <c r="D6" t="inlineStr">
        <is>
          <t>STOCKHOLMS LÄN</t>
        </is>
      </c>
      <c r="E6" t="inlineStr">
        <is>
          <t>NYKVARN</t>
        </is>
      </c>
      <c r="G6" t="n">
        <v>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57389-2024 artfynd.xlsx", "A 57389-2024")</f>
        <v/>
      </c>
      <c r="T6">
        <f>HYPERLINK("https://klasma.github.io/Logging_0140/kartor/A 57389-2024 karta.png", "A 57389-2024")</f>
        <v/>
      </c>
      <c r="V6">
        <f>HYPERLINK("https://klasma.github.io/Logging_0140/klagomål/A 57389-2024 FSC-klagomål.docx", "A 57389-2024")</f>
        <v/>
      </c>
      <c r="W6">
        <f>HYPERLINK("https://klasma.github.io/Logging_0140/klagomålsmail/A 57389-2024 FSC-klagomål mail.docx", "A 57389-2024")</f>
        <v/>
      </c>
      <c r="X6">
        <f>HYPERLINK("https://klasma.github.io/Logging_0140/tillsyn/A 57389-2024 tillsynsbegäran.docx", "A 57389-2024")</f>
        <v/>
      </c>
      <c r="Y6">
        <f>HYPERLINK("https://klasma.github.io/Logging_0140/tillsynsmail/A 57389-2024 tillsynsbegäran mail.docx", "A 57389-2024")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46002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46002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23279-2025</t>
        </is>
      </c>
      <c r="B9" s="1" t="n">
        <v>45791</v>
      </c>
      <c r="C9" s="1" t="n">
        <v>46002</v>
      </c>
      <c r="D9" t="inlineStr">
        <is>
          <t>STOCKHOLMS LÄN</t>
        </is>
      </c>
      <c r="E9" t="inlineStr">
        <is>
          <t>NYKVARN</t>
        </is>
      </c>
      <c r="F9" t="inlineStr">
        <is>
          <t>Sveaskog</t>
        </is>
      </c>
      <c r="G9" t="n">
        <v>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23279-2025 artfynd.xlsx", "A 23279-2025")</f>
        <v/>
      </c>
      <c r="T9">
        <f>HYPERLINK("https://klasma.github.io/Logging_0140/kartor/A 23279-2025 karta.png", "A 23279-2025")</f>
        <v/>
      </c>
      <c r="V9">
        <f>HYPERLINK("https://klasma.github.io/Logging_0140/klagomål/A 23279-2025 FSC-klagomål.docx", "A 23279-2025")</f>
        <v/>
      </c>
      <c r="W9">
        <f>HYPERLINK("https://klasma.github.io/Logging_0140/klagomålsmail/A 23279-2025 FSC-klagomål mail.docx", "A 23279-2025")</f>
        <v/>
      </c>
      <c r="X9">
        <f>HYPERLINK("https://klasma.github.io/Logging_0140/tillsyn/A 23279-2025 tillsynsbegäran.docx", "A 23279-2025")</f>
        <v/>
      </c>
      <c r="Y9">
        <f>HYPERLINK("https://klasma.github.io/Logging_0140/tillsynsmail/A 23279-2025 tillsynsbegäran mail.docx", "A 23279-2025")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46002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46002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46002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46002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46002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46002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46002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46002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46002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46002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46002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46002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46002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46002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46002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46002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46002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23655-2025</t>
        </is>
      </c>
      <c r="B27" s="1" t="n">
        <v>45792</v>
      </c>
      <c r="C27" s="1" t="n">
        <v>46002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68268-2020</t>
        </is>
      </c>
      <c r="B28" s="1" t="n">
        <v>44183</v>
      </c>
      <c r="C28" s="1" t="n">
        <v>46002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44969-2022</t>
        </is>
      </c>
      <c r="B29" s="1" t="n">
        <v>44841.58752314815</v>
      </c>
      <c r="C29" s="1" t="n">
        <v>46002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2172-2024</t>
        </is>
      </c>
      <c r="B30" s="1" t="n">
        <v>45309.63112268518</v>
      </c>
      <c r="C30" s="1" t="n">
        <v>46002</v>
      </c>
      <c r="D30" t="inlineStr">
        <is>
          <t>STOCKHOLMS LÄN</t>
        </is>
      </c>
      <c r="E30" t="inlineStr">
        <is>
          <t>NYKVARN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46002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51787-2021</t>
        </is>
      </c>
      <c r="B32" s="1" t="n">
        <v>44462</v>
      </c>
      <c r="C32" s="1" t="n">
        <v>46002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26763-2025</t>
        </is>
      </c>
      <c r="B33" s="1" t="n">
        <v>45810.56418981482</v>
      </c>
      <c r="C33" s="1" t="n">
        <v>46002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26755-2025</t>
        </is>
      </c>
      <c r="B34" s="1" t="n">
        <v>45810.55623842592</v>
      </c>
      <c r="C34" s="1" t="n">
        <v>46002</v>
      </c>
      <c r="D34" t="inlineStr">
        <is>
          <t>STOCKHOLMS LÄN</t>
        </is>
      </c>
      <c r="E34" t="inlineStr">
        <is>
          <t>NYKVARN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18848-2024</t>
        </is>
      </c>
      <c r="B35" s="1" t="n">
        <v>45426.68278935185</v>
      </c>
      <c r="C35" s="1" t="n">
        <v>46002</v>
      </c>
      <c r="D35" t="inlineStr">
        <is>
          <t>STOCKHOLMS LÄN</t>
        </is>
      </c>
      <c r="E35" t="inlineStr">
        <is>
          <t>NYKVARN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28598-2025</t>
        </is>
      </c>
      <c r="B36" s="1" t="n">
        <v>45819.59659722223</v>
      </c>
      <c r="C36" s="1" t="n">
        <v>46002</v>
      </c>
      <c r="D36" t="inlineStr">
        <is>
          <t>STOCKHOLMS LÄN</t>
        </is>
      </c>
      <c r="E36" t="inlineStr">
        <is>
          <t>NYKVARN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53307-2023</t>
        </is>
      </c>
      <c r="B37" s="1" t="n">
        <v>45229</v>
      </c>
      <c r="C37" s="1" t="n">
        <v>46002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46002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6857-2022</t>
        </is>
      </c>
      <c r="B39" s="1" t="n">
        <v>44602.69712962963</v>
      </c>
      <c r="C39" s="1" t="n">
        <v>46002</v>
      </c>
      <c r="D39" t="inlineStr">
        <is>
          <t>STOCKHOLMS LÄN</t>
        </is>
      </c>
      <c r="E39" t="inlineStr">
        <is>
          <t>NYKVARN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23152-2021</t>
        </is>
      </c>
      <c r="B40" s="1" t="n">
        <v>44332</v>
      </c>
      <c r="C40" s="1" t="n">
        <v>46002</v>
      </c>
      <c r="D40" t="inlineStr">
        <is>
          <t>STOCKHOLMS LÄN</t>
        </is>
      </c>
      <c r="E40" t="inlineStr">
        <is>
          <t>NYKVARN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25754-2023</t>
        </is>
      </c>
      <c r="B41" s="1" t="n">
        <v>45084</v>
      </c>
      <c r="C41" s="1" t="n">
        <v>46002</v>
      </c>
      <c r="D41" t="inlineStr">
        <is>
          <t>STOCKHOLMS LÄN</t>
        </is>
      </c>
      <c r="E41" t="inlineStr">
        <is>
          <t>NYKVARN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45874.65056712963</v>
      </c>
      <c r="C42" s="1" t="n">
        <v>46002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32555-2023</t>
        </is>
      </c>
      <c r="B43" s="1" t="n">
        <v>45121.43032407408</v>
      </c>
      <c r="C43" s="1" t="n">
        <v>46002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46002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43230-2022</t>
        </is>
      </c>
      <c r="B45" s="1" t="n">
        <v>44834</v>
      </c>
      <c r="C45" s="1" t="n">
        <v>46002</v>
      </c>
      <c r="D45" t="inlineStr">
        <is>
          <t>STOCKHOLMS LÄN</t>
        </is>
      </c>
      <c r="E45" t="inlineStr">
        <is>
          <t>NYKVARN</t>
        </is>
      </c>
      <c r="F45" t="inlineStr">
        <is>
          <t>Allmännings- och besparingsskogar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44438.69939814815</v>
      </c>
      <c r="C46" s="1" t="n">
        <v>46002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11430-2022</t>
        </is>
      </c>
      <c r="B47" s="1" t="n">
        <v>44630.5968287037</v>
      </c>
      <c r="C47" s="1" t="n">
        <v>46002</v>
      </c>
      <c r="D47" t="inlineStr">
        <is>
          <t>STOCKHOLMS LÄN</t>
        </is>
      </c>
      <c r="E47" t="inlineStr">
        <is>
          <t>NYKVARN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20711-2021</t>
        </is>
      </c>
      <c r="B48" s="1" t="n">
        <v>44316</v>
      </c>
      <c r="C48" s="1" t="n">
        <v>46002</v>
      </c>
      <c r="D48" t="inlineStr">
        <is>
          <t>STOCKHOLMS LÄN</t>
        </is>
      </c>
      <c r="E48" t="inlineStr">
        <is>
          <t>NYKVARN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40168-2023</t>
        </is>
      </c>
      <c r="B49" s="1" t="n">
        <v>45169.38591435185</v>
      </c>
      <c r="C49" s="1" t="n">
        <v>46002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41681-2023</t>
        </is>
      </c>
      <c r="B50" s="1" t="n">
        <v>45173</v>
      </c>
      <c r="C50" s="1" t="n">
        <v>46002</v>
      </c>
      <c r="D50" t="inlineStr">
        <is>
          <t>STOCKHOLMS LÄN</t>
        </is>
      </c>
      <c r="E50" t="inlineStr">
        <is>
          <t>NYKVARN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59342-2025</t>
        </is>
      </c>
      <c r="B51" s="1" t="n">
        <v>45989.38784722222</v>
      </c>
      <c r="C51" s="1" t="n">
        <v>46002</v>
      </c>
      <c r="D51" t="inlineStr">
        <is>
          <t>STOCKHOLMS LÄN</t>
        </is>
      </c>
      <c r="E51" t="inlineStr">
        <is>
          <t>NYKVARN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59348-2025</t>
        </is>
      </c>
      <c r="B52" s="1" t="n">
        <v>45989.40099537037</v>
      </c>
      <c r="C52" s="1" t="n">
        <v>46002</v>
      </c>
      <c r="D52" t="inlineStr">
        <is>
          <t>STOCKHOLMS LÄN</t>
        </is>
      </c>
      <c r="E52" t="inlineStr">
        <is>
          <t>NYKVARN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46002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46002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46002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46002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46002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46002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46002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46002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46002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46002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46002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46002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46002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46002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46002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46002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46002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46002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46002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46002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46002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46002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11393-2022</t>
        </is>
      </c>
      <c r="B75" s="1" t="n">
        <v>44630</v>
      </c>
      <c r="C75" s="1" t="n">
        <v>46002</v>
      </c>
      <c r="D75" t="inlineStr">
        <is>
          <t>STOCKHOLMS LÄN</t>
        </is>
      </c>
      <c r="E75" t="inlineStr">
        <is>
          <t>NYKVARN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46002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46002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52963-2022</t>
        </is>
      </c>
      <c r="B78" s="1" t="n">
        <v>44875</v>
      </c>
      <c r="C78" s="1" t="n">
        <v>46002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2177-2024</t>
        </is>
      </c>
      <c r="B79" s="1" t="n">
        <v>45309.64600694444</v>
      </c>
      <c r="C79" s="1" t="n">
        <v>46002</v>
      </c>
      <c r="D79" t="inlineStr">
        <is>
          <t>STOCKHOLMS LÄN</t>
        </is>
      </c>
      <c r="E79" t="inlineStr">
        <is>
          <t>NYKVARN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23284-2025</t>
        </is>
      </c>
      <c r="B80" s="1" t="n">
        <v>45791.57525462963</v>
      </c>
      <c r="C80" s="1" t="n">
        <v>46002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2025-12-11T10:26:30Z</dcterms:created>
  <dcterms:modified xmlns:dcterms="http://purl.org/dc/terms/" xmlns:xsi="http://www.w3.org/2001/XMLSchema-instance" xsi:type="dcterms:W3CDTF">2025-12-11T10:26:30Z</dcterms:modified>
</cp:coreProperties>
</file>