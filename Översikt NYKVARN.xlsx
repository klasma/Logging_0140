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46065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46065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46065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46065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46065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46065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46065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46065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46065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46065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46065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23279-2025</t>
        </is>
      </c>
      <c r="B13" s="1" t="n">
        <v>45791</v>
      </c>
      <c r="C13" s="1" t="n">
        <v>46065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23279-2025 artfynd.xlsx", "A 23279-2025")</f>
        <v/>
      </c>
      <c r="T13">
        <f>HYPERLINK("https://klasma.github.io/Logging_0140/kartor/A 23279-2025 karta.png", "A 23279-2025")</f>
        <v/>
      </c>
      <c r="V13">
        <f>HYPERLINK("https://klasma.github.io/Logging_0140/klagomål/A 23279-2025 FSC-klagomål.docx", "A 23279-2025")</f>
        <v/>
      </c>
      <c r="W13">
        <f>HYPERLINK("https://klasma.github.io/Logging_0140/klagomålsmail/A 23279-2025 FSC-klagomål mail.docx", "A 23279-2025")</f>
        <v/>
      </c>
      <c r="X13">
        <f>HYPERLINK("https://klasma.github.io/Logging_0140/tillsyn/A 23279-2025 tillsynsbegäran.docx", "A 23279-2025")</f>
        <v/>
      </c>
      <c r="Y13">
        <f>HYPERLINK("https://klasma.github.io/Logging_0140/tillsynsmail/A 23279-2025 tillsynsbegäran mail.docx", "A 23279-2025")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46065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46065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46065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46065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46065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46065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46065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19608-2022</t>
        </is>
      </c>
      <c r="B21" s="1" t="n">
        <v>44693.96278935186</v>
      </c>
      <c r="C21" s="1" t="n">
        <v>46065</v>
      </c>
      <c r="D21" t="inlineStr">
        <is>
          <t>STOCKHOLMS LÄN</t>
        </is>
      </c>
      <c r="E21" t="inlineStr">
        <is>
          <t>NYKVARN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24656-2022</t>
        </is>
      </c>
      <c r="B22" s="1" t="n">
        <v>44726</v>
      </c>
      <c r="C22" s="1" t="n">
        <v>46065</v>
      </c>
      <c r="D22" t="inlineStr">
        <is>
          <t>STOCKHOLMS LÄN</t>
        </is>
      </c>
      <c r="E22" t="inlineStr">
        <is>
          <t>NYKVARN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21913-2021</t>
        </is>
      </c>
      <c r="B23" s="1" t="n">
        <v>44322.75940972222</v>
      </c>
      <c r="C23" s="1" t="n">
        <v>46065</v>
      </c>
      <c r="D23" t="inlineStr">
        <is>
          <t>STOCKHOLMS LÄN</t>
        </is>
      </c>
      <c r="E23" t="inlineStr">
        <is>
          <t>NYKVARN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8295-2022</t>
        </is>
      </c>
      <c r="B24" s="1" t="n">
        <v>44610</v>
      </c>
      <c r="C24" s="1" t="n">
        <v>46065</v>
      </c>
      <c r="D24" t="inlineStr">
        <is>
          <t>STOCKHOLMS LÄN</t>
        </is>
      </c>
      <c r="E24" t="inlineStr">
        <is>
          <t>NYKVARN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67220-2021</t>
        </is>
      </c>
      <c r="B25" s="1" t="n">
        <v>44523</v>
      </c>
      <c r="C25" s="1" t="n">
        <v>46065</v>
      </c>
      <c r="D25" t="inlineStr">
        <is>
          <t>STOCKHOLMS LÄN</t>
        </is>
      </c>
      <c r="E25" t="inlineStr">
        <is>
          <t>NYKVARN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11996-2022</t>
        </is>
      </c>
      <c r="B26" s="1" t="n">
        <v>44635</v>
      </c>
      <c r="C26" s="1" t="n">
        <v>46065</v>
      </c>
      <c r="D26" t="inlineStr">
        <is>
          <t>STOCKHOLMS LÄN</t>
        </is>
      </c>
      <c r="E26" t="inlineStr">
        <is>
          <t>NYKVARN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25754-2023</t>
        </is>
      </c>
      <c r="B27" s="1" t="n">
        <v>45084</v>
      </c>
      <c r="C27" s="1" t="n">
        <v>46065</v>
      </c>
      <c r="D27" t="inlineStr">
        <is>
          <t>STOCKHOLMS LÄN</t>
        </is>
      </c>
      <c r="E27" t="inlineStr">
        <is>
          <t>NYKVARN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46065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44947-2021</t>
        </is>
      </c>
      <c r="B29" s="1" t="n">
        <v>44438.69939814815</v>
      </c>
      <c r="C29" s="1" t="n">
        <v>46065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46065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40168-2023</t>
        </is>
      </c>
      <c r="B31" s="1" t="n">
        <v>45169.38591435185</v>
      </c>
      <c r="C31" s="1" t="n">
        <v>46065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19487-2023</t>
        </is>
      </c>
      <c r="B32" s="1" t="n">
        <v>45050</v>
      </c>
      <c r="C32" s="1" t="n">
        <v>46065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54583-2023</t>
        </is>
      </c>
      <c r="B33" s="1" t="n">
        <v>45233</v>
      </c>
      <c r="C33" s="1" t="n">
        <v>46065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39539-2023</t>
        </is>
      </c>
      <c r="B34" s="1" t="n">
        <v>45167</v>
      </c>
      <c r="C34" s="1" t="n">
        <v>46065</v>
      </c>
      <c r="D34" t="inlineStr">
        <is>
          <t>STOCKHOLMS LÄN</t>
        </is>
      </c>
      <c r="E34" t="inlineStr">
        <is>
          <t>NYKVARN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6857-2022</t>
        </is>
      </c>
      <c r="B35" s="1" t="n">
        <v>44602.69712962963</v>
      </c>
      <c r="C35" s="1" t="n">
        <v>46065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44531-2022</t>
        </is>
      </c>
      <c r="B36" s="1" t="n">
        <v>44840</v>
      </c>
      <c r="C36" s="1" t="n">
        <v>46065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43230-2022</t>
        </is>
      </c>
      <c r="B37" s="1" t="n">
        <v>44834</v>
      </c>
      <c r="C37" s="1" t="n">
        <v>46065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71540-2021</t>
        </is>
      </c>
      <c r="B38" s="1" t="n">
        <v>44540</v>
      </c>
      <c r="C38" s="1" t="n">
        <v>46065</v>
      </c>
      <c r="D38" t="inlineStr">
        <is>
          <t>STOCKHOLMS LÄN</t>
        </is>
      </c>
      <c r="E38" t="inlineStr">
        <is>
          <t>NYKVARN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44910.59086805556</v>
      </c>
      <c r="C39" s="1" t="n">
        <v>46065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46065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52963-2022</t>
        </is>
      </c>
      <c r="B41" s="1" t="n">
        <v>44875</v>
      </c>
      <c r="C41" s="1" t="n">
        <v>46065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43922-2021</t>
        </is>
      </c>
      <c r="B42" s="1" t="n">
        <v>44434</v>
      </c>
      <c r="C42" s="1" t="n">
        <v>46065</v>
      </c>
      <c r="D42" t="inlineStr">
        <is>
          <t>STOCKHOLMS LÄN</t>
        </is>
      </c>
      <c r="E42" t="inlineStr">
        <is>
          <t>NYKVARN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63586-2023</t>
        </is>
      </c>
      <c r="B43" s="1" t="n">
        <v>45275</v>
      </c>
      <c r="C43" s="1" t="n">
        <v>46065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46065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8096-2023</t>
        </is>
      </c>
      <c r="B45" s="1" t="n">
        <v>44974.389375</v>
      </c>
      <c r="C45" s="1" t="n">
        <v>46065</v>
      </c>
      <c r="D45" t="inlineStr">
        <is>
          <t>STOCKHOLMS LÄN</t>
        </is>
      </c>
      <c r="E45" t="inlineStr">
        <is>
          <t>NYKVARN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26755-2025</t>
        </is>
      </c>
      <c r="B46" s="1" t="n">
        <v>45810.55623842592</v>
      </c>
      <c r="C46" s="1" t="n">
        <v>46065</v>
      </c>
      <c r="D46" t="inlineStr">
        <is>
          <t>STOCKHOLMS LÄN</t>
        </is>
      </c>
      <c r="E46" t="inlineStr">
        <is>
          <t>NYKVARN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46065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46065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53337-2023</t>
        </is>
      </c>
      <c r="B49" s="1" t="n">
        <v>45229.63960648148</v>
      </c>
      <c r="C49" s="1" t="n">
        <v>46065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63592-2023</t>
        </is>
      </c>
      <c r="B50" s="1" t="n">
        <v>45275</v>
      </c>
      <c r="C50" s="1" t="n">
        <v>46065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46065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46065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28598-2025</t>
        </is>
      </c>
      <c r="B53" s="1" t="n">
        <v>45819.59659722223</v>
      </c>
      <c r="C53" s="1" t="n">
        <v>46065</v>
      </c>
      <c r="D53" t="inlineStr">
        <is>
          <t>STOCKHOLMS LÄN</t>
        </is>
      </c>
      <c r="E53" t="inlineStr">
        <is>
          <t>NYKVARN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51813-2024</t>
        </is>
      </c>
      <c r="B54" s="1" t="n">
        <v>45607.48734953703</v>
      </c>
      <c r="C54" s="1" t="n">
        <v>46065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46065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6876-2022</t>
        </is>
      </c>
      <c r="B56" s="1" t="n">
        <v>44602</v>
      </c>
      <c r="C56" s="1" t="n">
        <v>46065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18793-2023</t>
        </is>
      </c>
      <c r="B57" s="1" t="n">
        <v>45044</v>
      </c>
      <c r="C57" s="1" t="n">
        <v>46065</v>
      </c>
      <c r="D57" t="inlineStr">
        <is>
          <t>STOCKHOLMS LÄN</t>
        </is>
      </c>
      <c r="E57" t="inlineStr">
        <is>
          <t>NYKVARN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22529-2022</t>
        </is>
      </c>
      <c r="B58" s="1" t="n">
        <v>44713</v>
      </c>
      <c r="C58" s="1" t="n">
        <v>46065</v>
      </c>
      <c r="D58" t="inlineStr">
        <is>
          <t>STOCKHOLMS LÄN</t>
        </is>
      </c>
      <c r="E58" t="inlineStr">
        <is>
          <t>NYKVARN</t>
        </is>
      </c>
      <c r="F58" t="inlineStr">
        <is>
          <t>Allmännings- och besparingsskogar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52878-2022</t>
        </is>
      </c>
      <c r="B59" s="1" t="n">
        <v>44872</v>
      </c>
      <c r="C59" s="1" t="n">
        <v>46065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24283-2022</t>
        </is>
      </c>
      <c r="B60" s="1" t="n">
        <v>44725.79453703704</v>
      </c>
      <c r="C60" s="1" t="n">
        <v>46065</v>
      </c>
      <c r="D60" t="inlineStr">
        <is>
          <t>STOCKHOLMS LÄN</t>
        </is>
      </c>
      <c r="E60" t="inlineStr">
        <is>
          <t>NYKVARN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46065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63400-2023</t>
        </is>
      </c>
      <c r="B62" s="1" t="n">
        <v>45274</v>
      </c>
      <c r="C62" s="1" t="n">
        <v>46065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41681-2023</t>
        </is>
      </c>
      <c r="B63" s="1" t="n">
        <v>45173</v>
      </c>
      <c r="C63" s="1" t="n">
        <v>46065</v>
      </c>
      <c r="D63" t="inlineStr">
        <is>
          <t>STOCKHOLMS LÄN</t>
        </is>
      </c>
      <c r="E63" t="inlineStr">
        <is>
          <t>NYKVARN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19903-2023</t>
        </is>
      </c>
      <c r="B64" s="1" t="n">
        <v>45054</v>
      </c>
      <c r="C64" s="1" t="n">
        <v>46065</v>
      </c>
      <c r="D64" t="inlineStr">
        <is>
          <t>STOCKHOLMS LÄN</t>
        </is>
      </c>
      <c r="E64" t="inlineStr">
        <is>
          <t>NYKVARN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56639-2023</t>
        </is>
      </c>
      <c r="B65" s="1" t="n">
        <v>45243.72300925926</v>
      </c>
      <c r="C65" s="1" t="n">
        <v>46065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2172-2024</t>
        </is>
      </c>
      <c r="B66" s="1" t="n">
        <v>45309.63112268518</v>
      </c>
      <c r="C66" s="1" t="n">
        <v>46065</v>
      </c>
      <c r="D66" t="inlineStr">
        <is>
          <t>STOCKHOLMS LÄN</t>
        </is>
      </c>
      <c r="E66" t="inlineStr">
        <is>
          <t>NYKVARN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50020-2023</t>
        </is>
      </c>
      <c r="B67" s="1" t="n">
        <v>45215.46996527778</v>
      </c>
      <c r="C67" s="1" t="n">
        <v>46065</v>
      </c>
      <c r="D67" t="inlineStr">
        <is>
          <t>STOCKHOLMS LÄN</t>
        </is>
      </c>
      <c r="E67" t="inlineStr">
        <is>
          <t>NYKVARN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51787-2021</t>
        </is>
      </c>
      <c r="B68" s="1" t="n">
        <v>44462</v>
      </c>
      <c r="C68" s="1" t="n">
        <v>46065</v>
      </c>
      <c r="D68" t="inlineStr">
        <is>
          <t>STOCKHOLMS LÄN</t>
        </is>
      </c>
      <c r="E68" t="inlineStr">
        <is>
          <t>NYKVARN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46065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38535-2025</t>
        </is>
      </c>
      <c r="B70" s="1" t="n">
        <v>45884.41943287037</v>
      </c>
      <c r="C70" s="1" t="n">
        <v>46065</v>
      </c>
      <c r="D70" t="inlineStr">
        <is>
          <t>STOCKHOLMS LÄN</t>
        </is>
      </c>
      <c r="E70" t="inlineStr">
        <is>
          <t>NYKVARN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46065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20711-2021</t>
        </is>
      </c>
      <c r="B72" s="1" t="n">
        <v>44316</v>
      </c>
      <c r="C72" s="1" t="n">
        <v>46065</v>
      </c>
      <c r="D72" t="inlineStr">
        <is>
          <t>STOCKHOLMS LÄN</t>
        </is>
      </c>
      <c r="E72" t="inlineStr">
        <is>
          <t>NYKVARN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23152-2021</t>
        </is>
      </c>
      <c r="B73" s="1" t="n">
        <v>44332</v>
      </c>
      <c r="C73" s="1" t="n">
        <v>46065</v>
      </c>
      <c r="D73" t="inlineStr">
        <is>
          <t>STOCKHOLMS LÄN</t>
        </is>
      </c>
      <c r="E73" t="inlineStr">
        <is>
          <t>NYKVARN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44969-2022</t>
        </is>
      </c>
      <c r="B74" s="1" t="n">
        <v>44841.58752314815</v>
      </c>
      <c r="C74" s="1" t="n">
        <v>46065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11430-2022</t>
        </is>
      </c>
      <c r="B75" s="1" t="n">
        <v>44630.5968287037</v>
      </c>
      <c r="C75" s="1" t="n">
        <v>46065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46065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36986-2025</t>
        </is>
      </c>
      <c r="B77" s="1" t="n">
        <v>45874.65056712963</v>
      </c>
      <c r="C77" s="1" t="n">
        <v>46065</v>
      </c>
      <c r="D77" t="inlineStr">
        <is>
          <t>STOCKHOLMS LÄN</t>
        </is>
      </c>
      <c r="E77" t="inlineStr">
        <is>
          <t>NYKVARN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46065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23655-2025</t>
        </is>
      </c>
      <c r="B79" s="1" t="n">
        <v>45792</v>
      </c>
      <c r="C79" s="1" t="n">
        <v>46065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23284-2025</t>
        </is>
      </c>
      <c r="B80" s="1" t="n">
        <v>45791.57525462963</v>
      </c>
      <c r="C80" s="1" t="n">
        <v>46065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59342-2025</t>
        </is>
      </c>
      <c r="B81" s="1" t="n">
        <v>45989.38784722222</v>
      </c>
      <c r="C81" s="1" t="n">
        <v>46065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59348-2025</t>
        </is>
      </c>
      <c r="B82" s="1" t="n">
        <v>45989.40099537037</v>
      </c>
      <c r="C82" s="1" t="n">
        <v>46065</v>
      </c>
      <c r="D82" t="inlineStr">
        <is>
          <t>STOCKHOLMS LÄN</t>
        </is>
      </c>
      <c r="E82" t="inlineStr">
        <is>
          <t>NYKVARN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2026-02-12T11:03:12Z</dcterms:created>
  <dcterms:modified xmlns:dcterms="http://purl.org/dc/terms/" xmlns:xsi="http://www.w3.org/2001/XMLSchema-instance" xsi:type="dcterms:W3CDTF">2026-02-12T11:03:12Z</dcterms:modified>
</cp:coreProperties>
</file>