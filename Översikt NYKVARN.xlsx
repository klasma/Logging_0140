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46263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46263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46263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23279-2025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45791</v>
      </c>
      <c r="E8" s="1" t="n">
        <v>46263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0.5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HYPERLINK("https://klasma.github.io/Logging_0140/artfynd/A 23279-2025 artfynd.xlsx", "A 23279-2025")</f>
        <v/>
      </c>
      <c r="X8">
        <f>HYPERLINK("https://klasma.github.io/Logging_0140/kartor/A 23279-2025 karta.png", "A 23279-2025")</f>
        <v/>
      </c>
      <c r="Y8">
        <f>HYPERLINK("https://klasma.github.io/Logging_0140/kartor_geotiff/A 23279-2025 georefererad karta.tif", "A 23279-2025")</f>
        <v/>
      </c>
      <c r="AA8">
        <f>HYPERLINK("https://klasma.github.io/Logging_0140/klagomål/A 23279-2025 FSC-klagomål.docx", "A 23279-2025")</f>
        <v/>
      </c>
      <c r="AB8">
        <f>HYPERLINK("https://klasma.github.io/Logging_0140/klagomålsmail/A 23279-2025 FSC-klagomål mail.docx", "A 23279-2025")</f>
        <v/>
      </c>
      <c r="AC8">
        <f>HYPERLINK("https://klasma.github.io/Logging_0140/tillsyn/A 23279-2025 tillsynsbegäran.docx", "A 23279-2025")</f>
        <v/>
      </c>
      <c r="AD8">
        <f>HYPERLINK("https://klasma.github.io/Logging_0140/tillsynsmail/A 23279-2025 tillsynsbegäran mail.docx", "A 23279-2025")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46263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46263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46263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46263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46263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46263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46263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17009-2026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46263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8.699999999999999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Mattlummer</t>
        </is>
      </c>
      <c r="W16">
        <f>HYPERLINK("https://klasma.github.io/Logging_0140/artfynd/A 17009-2026 artfynd.xlsx", "A 17009-2026")</f>
        <v/>
      </c>
      <c r="X16">
        <f>HYPERLINK("https://klasma.github.io/Logging_0140/kartor/A 17009-2026 karta.png", "A 17009-2026")</f>
        <v/>
      </c>
      <c r="Y16">
        <f>HYPERLINK("https://klasma.github.io/Logging_0140/kartor_geotiff/A 17009-2026 georefererad karta.tif", "A 17009-2026")</f>
        <v/>
      </c>
      <c r="AA16">
        <f>HYPERLINK("https://klasma.github.io/Logging_0140/klagomål/A 17009-2026 FSC-klagomål.docx", "A 17009-2026")</f>
        <v/>
      </c>
      <c r="AB16">
        <f>HYPERLINK("https://klasma.github.io/Logging_0140/klagomålsmail/A 17009-2026 FSC-klagomål mail.docx", "A 17009-2026")</f>
        <v/>
      </c>
      <c r="AC16">
        <f>HYPERLINK("https://klasma.github.io/Logging_0140/tillsyn/A 17009-2026 tillsynsbegäran.docx", "A 17009-2026")</f>
        <v/>
      </c>
      <c r="AD16">
        <f>HYPERLINK("https://klasma.github.io/Logging_0140/tillsynsmail/A 17009-2026 tillsynsbegäran mail.docx", "A 17009-2026")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46263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46263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46263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46263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46263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46263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46263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46263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46263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46263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46263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46263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46263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46263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46263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43230-2022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44834</v>
      </c>
      <c r="E34" s="1" t="n">
        <v>46263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46263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46263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46263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46263</v>
      </c>
      <c r="F38" t="inlineStr">
        <is>
          <t>STOCKHOLMS LÄN</t>
        </is>
      </c>
      <c r="G38" t="inlineStr">
        <is>
          <t>NYKVARN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46263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45792</v>
      </c>
      <c r="E40" s="1" t="n">
        <v>46263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46263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46263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46263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46263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46263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46263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46263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46263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46263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46263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51813-2024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46263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45044</v>
      </c>
      <c r="E52" s="1" t="n">
        <v>46263</v>
      </c>
      <c r="F52" t="inlineStr">
        <is>
          <t>STOCKHOLMS LÄN</t>
        </is>
      </c>
      <c r="G52" t="inlineStr">
        <is>
          <t>NYKVARN</t>
        </is>
      </c>
      <c r="H52" t="inlineStr">
        <is>
          <t>Kyrkan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44713</v>
      </c>
      <c r="E53" s="1" t="n">
        <v>46263</v>
      </c>
      <c r="F53" t="inlineStr">
        <is>
          <t>STOCKHOLMS LÄN</t>
        </is>
      </c>
      <c r="G53" t="inlineStr">
        <is>
          <t>NYKVARN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46263</v>
      </c>
      <c r="F54" t="inlineStr">
        <is>
          <t>STOCKHOLMS LÄN</t>
        </is>
      </c>
      <c r="G54" t="inlineStr">
        <is>
          <t>NYKVARN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44947-2021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46263</v>
      </c>
      <c r="F55" t="inlineStr">
        <is>
          <t>STOCKHOLMS LÄN</t>
        </is>
      </c>
      <c r="G55" t="inlineStr">
        <is>
          <t>NYKVARN</t>
        </is>
      </c>
      <c r="H55" t="inlineStr">
        <is>
          <t>Allmännings- och besparingsskogar</t>
        </is>
      </c>
      <c r="I55" t="n">
        <v>11.3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46263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46263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46263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46263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46263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46263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46263</v>
      </c>
      <c r="F62" t="inlineStr">
        <is>
          <t>STOCKHOLMS LÄN</t>
        </is>
      </c>
      <c r="G62" t="inlineStr">
        <is>
          <t>NYKVARN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46263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46263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46263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46263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46263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44730</v>
      </c>
      <c r="E68" s="1" t="n">
        <v>46263</v>
      </c>
      <c r="F68" t="inlineStr">
        <is>
          <t>STOCKHOLMS LÄN</t>
        </is>
      </c>
      <c r="G68" t="inlineStr">
        <is>
          <t>NYKVARN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46263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46263</v>
      </c>
      <c r="F70" t="inlineStr">
        <is>
          <t>STOCKHOLMS LÄN</t>
        </is>
      </c>
      <c r="G70" t="inlineStr">
        <is>
          <t>NYKVARN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46263</v>
      </c>
      <c r="F71" t="inlineStr">
        <is>
          <t>STOCKHOLMS LÄN</t>
        </is>
      </c>
      <c r="G71" t="inlineStr">
        <is>
          <t>NYKVARN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45309</v>
      </c>
      <c r="E72" s="1" t="n">
        <v>46263</v>
      </c>
      <c r="F72" t="inlineStr">
        <is>
          <t>STOCKHOLMS LÄN</t>
        </is>
      </c>
      <c r="G72" t="inlineStr">
        <is>
          <t>NYKVARN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46263</v>
      </c>
      <c r="F73" t="inlineStr">
        <is>
          <t>STOCKHOLMS LÄN</t>
        </is>
      </c>
      <c r="G73" t="inlineStr">
        <is>
          <t>NYKVARN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46263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46263</v>
      </c>
      <c r="F75" t="inlineStr">
        <is>
          <t>STOCKHOLMS LÄN</t>
        </is>
      </c>
      <c r="G75" t="inlineStr">
        <is>
          <t>NYKVARN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46263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24796-2026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46171</v>
      </c>
      <c r="E77" s="1" t="n">
        <v>46263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46263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46263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46263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46263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46263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46263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46263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2026-08-29T01:54:13Z</dcterms:created>
  <dcterms:modified xmlns:dcterms="http://purl.org/dc/terms/" xmlns:xsi="http://www.w3.org/2001/XMLSchema-instance" xsi:type="dcterms:W3CDTF">2026-08-29T01:54:13Z</dcterms:modified>
</cp:coreProperties>
</file>