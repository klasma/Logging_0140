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46193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46193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46193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11388-2024</t>
        </is>
      </c>
      <c r="B8" s="1" t="n">
        <v>45372</v>
      </c>
      <c r="C8" s="1" t="n">
        <v>46193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46193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s="1" t="n">
        <v>45167</v>
      </c>
      <c r="C10" s="1" t="n">
        <v>46193</v>
      </c>
      <c r="D10" t="inlineStr">
        <is>
          <t>STOCKHOLMS LÄN</t>
        </is>
      </c>
      <c r="E10" t="inlineStr">
        <is>
          <t>NYKVARN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HYPERLINK("https://klasma.github.io/Logging_0140/artfynd/A 39539-2023 artfynd.xlsx", "A 39539-2023")</f>
        <v/>
      </c>
      <c r="T10">
        <f>HYPERLINK("https://klasma.github.io/Logging_0140/kartor/A 39539-2023 karta.png", "A 39539-2023")</f>
        <v/>
      </c>
      <c r="V10">
        <f>HYPERLINK("https://klasma.github.io/Logging_0140/klagomål/A 39539-2023 FSC-klagomål.docx", "A 39539-2023")</f>
        <v/>
      </c>
      <c r="W10">
        <f>HYPERLINK("https://klasma.github.io/Logging_0140/klagomålsmail/A 39539-2023 FSC-klagomål mail.docx", "A 39539-2023")</f>
        <v/>
      </c>
      <c r="X10">
        <f>HYPERLINK("https://klasma.github.io/Logging_0140/tillsyn/A 39539-2023 tillsynsbegäran.docx", "A 39539-2023")</f>
        <v/>
      </c>
      <c r="Y10">
        <f>HYPERLINK("https://klasma.github.io/Logging_0140/tillsynsmail/A 39539-2023 tillsynsbegäran mail.docx", "A 39539-2023")</f>
        <v/>
      </c>
    </row>
    <row r="11" ht="15" customHeight="1">
      <c r="A11" t="inlineStr">
        <is>
          <t>A 37597-2024</t>
        </is>
      </c>
      <c r="B11" s="1" t="n">
        <v>45541</v>
      </c>
      <c r="C11" s="1" t="n">
        <v>46193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46193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25754-2023</t>
        </is>
      </c>
      <c r="B13" s="1" t="n">
        <v>45084</v>
      </c>
      <c r="C13" s="1" t="n">
        <v>46193</v>
      </c>
      <c r="D13" t="inlineStr">
        <is>
          <t>STOCKHOLMS LÄN</t>
        </is>
      </c>
      <c r="E13" t="inlineStr">
        <is>
          <t>NYKVARN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HYPERLINK("https://klasma.github.io/Logging_0140/artfynd/A 25754-2023 artfynd.xlsx", "A 25754-2023")</f>
        <v/>
      </c>
      <c r="T13">
        <f>HYPERLINK("https://klasma.github.io/Logging_0140/kartor/A 25754-2023 karta.png", "A 25754-2023")</f>
        <v/>
      </c>
      <c r="V13">
        <f>HYPERLINK("https://klasma.github.io/Logging_0140/klagomål/A 25754-2023 FSC-klagomål.docx", "A 25754-2023")</f>
        <v/>
      </c>
      <c r="W13">
        <f>HYPERLINK("https://klasma.github.io/Logging_0140/klagomålsmail/A 25754-2023 FSC-klagomål mail.docx", "A 25754-2023")</f>
        <v/>
      </c>
      <c r="X13">
        <f>HYPERLINK("https://klasma.github.io/Logging_0140/tillsyn/A 25754-2023 tillsynsbegäran.docx", "A 25754-2023")</f>
        <v/>
      </c>
      <c r="Y13">
        <f>HYPERLINK("https://klasma.github.io/Logging_0140/tillsynsmail/A 25754-2023 tillsynsbegäran mail.docx", "A 25754-2023")</f>
        <v/>
      </c>
      <c r="Z13">
        <f>HYPERLINK("https://klasma.github.io/Logging_0140/fåglar/A 25754-2023 prioriterade fågelarter.docx", "A 25754-2023")</f>
        <v/>
      </c>
    </row>
    <row r="14" ht="15" customHeight="1">
      <c r="A14" t="inlineStr">
        <is>
          <t>A 59342-2025</t>
        </is>
      </c>
      <c r="B14" s="1" t="n">
        <v>45989</v>
      </c>
      <c r="C14" s="1" t="n">
        <v>46193</v>
      </c>
      <c r="D14" t="inlineStr">
        <is>
          <t>STOCKHOLMS LÄN</t>
        </is>
      </c>
      <c r="E14" t="inlineStr">
        <is>
          <t>NYKVARN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HYPERLINK("https://klasma.github.io/Logging_0140/artfynd/A 59342-2025 artfynd.xlsx", "A 59342-2025")</f>
        <v/>
      </c>
      <c r="T14">
        <f>HYPERLINK("https://klasma.github.io/Logging_0140/kartor/A 59342-2025 karta.png", "A 59342-2025")</f>
        <v/>
      </c>
      <c r="V14">
        <f>HYPERLINK("https://klasma.github.io/Logging_0140/klagomål/A 59342-2025 FSC-klagomål.docx", "A 59342-2025")</f>
        <v/>
      </c>
      <c r="W14">
        <f>HYPERLINK("https://klasma.github.io/Logging_0140/klagomålsmail/A 59342-2025 FSC-klagomål mail.docx", "A 59342-2025")</f>
        <v/>
      </c>
      <c r="X14">
        <f>HYPERLINK("https://klasma.github.io/Logging_0140/tillsyn/A 59342-2025 tillsynsbegäran.docx", "A 59342-2025")</f>
        <v/>
      </c>
      <c r="Y14">
        <f>HYPERLINK("https://klasma.github.io/Logging_0140/tillsynsmail/A 59342-2025 tillsynsbegäran mail.docx", "A 59342-2025")</f>
        <v/>
      </c>
    </row>
    <row r="15" ht="15" customHeight="1">
      <c r="A15" t="inlineStr">
        <is>
          <t>A 6876-2022</t>
        </is>
      </c>
      <c r="B15" s="1" t="n">
        <v>44602</v>
      </c>
      <c r="C15" s="1" t="n">
        <v>46193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HYPERLINK("https://klasma.github.io/Logging_0140/artfynd/A 6876-2022 artfynd.xlsx", "A 6876-2022")</f>
        <v/>
      </c>
      <c r="T15">
        <f>HYPERLINK("https://klasma.github.io/Logging_0140/kartor/A 6876-2022 karta.png", "A 6876-2022")</f>
        <v/>
      </c>
      <c r="V15">
        <f>HYPERLINK("https://klasma.github.io/Logging_0140/klagomål/A 6876-2022 FSC-klagomål.docx", "A 6876-2022")</f>
        <v/>
      </c>
      <c r="W15">
        <f>HYPERLINK("https://klasma.github.io/Logging_0140/klagomålsmail/A 6876-2022 FSC-klagomål mail.docx", "A 6876-2022")</f>
        <v/>
      </c>
      <c r="X15">
        <f>HYPERLINK("https://klasma.github.io/Logging_0140/tillsyn/A 6876-2022 tillsynsbegäran.docx", "A 6876-2022")</f>
        <v/>
      </c>
      <c r="Y15">
        <f>HYPERLINK("https://klasma.github.io/Logging_0140/tillsynsmail/A 6876-2022 tillsynsbegäran mail.docx", "A 6876-2022")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46193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46193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46193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46193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46193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46193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46193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46193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46193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71540-2021</t>
        </is>
      </c>
      <c r="B29" s="1" t="n">
        <v>44540</v>
      </c>
      <c r="C29" s="1" t="n">
        <v>46193</v>
      </c>
      <c r="D29" t="inlineStr">
        <is>
          <t>STOCKHOLMS LÄN</t>
        </is>
      </c>
      <c r="E29" t="inlineStr">
        <is>
          <t>NYKVARN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67220-2021</t>
        </is>
      </c>
      <c r="B30" s="1" t="n">
        <v>44523</v>
      </c>
      <c r="C30" s="1" t="n">
        <v>46193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6854-2022</t>
        </is>
      </c>
      <c r="B31" s="1" t="n">
        <v>44602</v>
      </c>
      <c r="C31" s="1" t="n">
        <v>46193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60324-2022</t>
        </is>
      </c>
      <c r="B32" s="1" t="n">
        <v>44910</v>
      </c>
      <c r="C32" s="1" t="n">
        <v>46193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11996-2022</t>
        </is>
      </c>
      <c r="B33" s="1" t="n">
        <v>44635</v>
      </c>
      <c r="C33" s="1" t="n">
        <v>46193</v>
      </c>
      <c r="D33" t="inlineStr">
        <is>
          <t>STOCKHOLMS LÄN</t>
        </is>
      </c>
      <c r="E33" t="inlineStr">
        <is>
          <t>NYKVARN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46193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</v>
      </c>
      <c r="C35" s="1" t="n">
        <v>46193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19487-2023</t>
        </is>
      </c>
      <c r="B36" s="1" t="n">
        <v>45050</v>
      </c>
      <c r="C36" s="1" t="n">
        <v>46193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52878-2022</t>
        </is>
      </c>
      <c r="B37" s="1" t="n">
        <v>44872</v>
      </c>
      <c r="C37" s="1" t="n">
        <v>46193</v>
      </c>
      <c r="D37" t="inlineStr">
        <is>
          <t>STOCKHOLMS LÄN</t>
        </is>
      </c>
      <c r="E37" t="inlineStr">
        <is>
          <t>NYKVARN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24283-2022</t>
        </is>
      </c>
      <c r="B38" s="1" t="n">
        <v>44725</v>
      </c>
      <c r="C38" s="1" t="n">
        <v>46193</v>
      </c>
      <c r="D38" t="inlineStr">
        <is>
          <t>STOCKHOLMS LÄN</t>
        </is>
      </c>
      <c r="E38" t="inlineStr">
        <is>
          <t>NYKVARN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43230-2022</t>
        </is>
      </c>
      <c r="B39" s="1" t="n">
        <v>44834</v>
      </c>
      <c r="C39" s="1" t="n">
        <v>46193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46193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53337-2023</t>
        </is>
      </c>
      <c r="B41" s="1" t="n">
        <v>45229</v>
      </c>
      <c r="C41" s="1" t="n">
        <v>46193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</v>
      </c>
      <c r="C42" s="1" t="n">
        <v>46193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54670-2023</t>
        </is>
      </c>
      <c r="B43" s="1" t="n">
        <v>45235</v>
      </c>
      <c r="C43" s="1" t="n">
        <v>46193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</v>
      </c>
      <c r="C44" s="1" t="n">
        <v>46193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52963-2022</t>
        </is>
      </c>
      <c r="B45" s="1" t="n">
        <v>44875</v>
      </c>
      <c r="C45" s="1" t="n">
        <v>46193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38535-2025</t>
        </is>
      </c>
      <c r="B46" s="1" t="n">
        <v>45884</v>
      </c>
      <c r="C46" s="1" t="n">
        <v>46193</v>
      </c>
      <c r="D46" t="inlineStr">
        <is>
          <t>STOCKHOLMS LÄN</t>
        </is>
      </c>
      <c r="E46" t="inlineStr">
        <is>
          <t>NYKVARN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</v>
      </c>
      <c r="C47" s="1" t="n">
        <v>46193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8096-2023</t>
        </is>
      </c>
      <c r="B48" s="1" t="n">
        <v>44974</v>
      </c>
      <c r="C48" s="1" t="n">
        <v>46193</v>
      </c>
      <c r="D48" t="inlineStr">
        <is>
          <t>STOCKHOLMS LÄN</t>
        </is>
      </c>
      <c r="E48" t="inlineStr">
        <is>
          <t>NYKVARN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44969-2022</t>
        </is>
      </c>
      <c r="B49" s="1" t="n">
        <v>44841</v>
      </c>
      <c r="C49" s="1" t="n">
        <v>46193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46193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46193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</v>
      </c>
      <c r="C52" s="1" t="n">
        <v>46193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</v>
      </c>
      <c r="C53" s="1" t="n">
        <v>46193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46193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18222-2025</t>
        </is>
      </c>
      <c r="B55" s="1" t="n">
        <v>45761</v>
      </c>
      <c r="C55" s="1" t="n">
        <v>46193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</v>
      </c>
      <c r="C56" s="1" t="n">
        <v>46193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2177-2024</t>
        </is>
      </c>
      <c r="B57" s="1" t="n">
        <v>45309</v>
      </c>
      <c r="C57" s="1" t="n">
        <v>46193</v>
      </c>
      <c r="D57" t="inlineStr">
        <is>
          <t>STOCKHOLMS LÄN</t>
        </is>
      </c>
      <c r="E57" t="inlineStr">
        <is>
          <t>NYKVARN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23655-2025</t>
        </is>
      </c>
      <c r="B58" s="1" t="n">
        <v>45792</v>
      </c>
      <c r="C58" s="1" t="n">
        <v>46193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23284-2025</t>
        </is>
      </c>
      <c r="B59" s="1" t="n">
        <v>45791</v>
      </c>
      <c r="C59" s="1" t="n">
        <v>46193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46193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</v>
      </c>
      <c r="C61" s="1" t="n">
        <v>46193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46193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28598-2025</t>
        </is>
      </c>
      <c r="B63" s="1" t="n">
        <v>45819</v>
      </c>
      <c r="C63" s="1" t="n">
        <v>46193</v>
      </c>
      <c r="D63" t="inlineStr">
        <is>
          <t>STOCKHOLMS LÄN</t>
        </is>
      </c>
      <c r="E63" t="inlineStr">
        <is>
          <t>NYKVARN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46193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32555-2023</t>
        </is>
      </c>
      <c r="B65" s="1" t="n">
        <v>45121</v>
      </c>
      <c r="C65" s="1" t="n">
        <v>46193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63592-2023</t>
        </is>
      </c>
      <c r="B66" s="1" t="n">
        <v>45275</v>
      </c>
      <c r="C66" s="1" t="n">
        <v>46193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59348-2025</t>
        </is>
      </c>
      <c r="B67" s="1" t="n">
        <v>45989</v>
      </c>
      <c r="C67" s="1" t="n">
        <v>46193</v>
      </c>
      <c r="D67" t="inlineStr">
        <is>
          <t>STOCKHOLMS LÄN</t>
        </is>
      </c>
      <c r="E67" t="inlineStr">
        <is>
          <t>NYKVARN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</v>
      </c>
      <c r="C68" s="1" t="n">
        <v>46193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46193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46193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46193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</v>
      </c>
      <c r="C72" s="1" t="n">
        <v>46193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11045-2026</t>
        </is>
      </c>
      <c r="B73" s="1" t="n">
        <v>46079</v>
      </c>
      <c r="C73" s="1" t="n">
        <v>46193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</v>
      </c>
      <c r="C74" s="1" t="n">
        <v>46193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46193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19217-2026</t>
        </is>
      </c>
      <c r="B76" s="1" t="n">
        <v>46132</v>
      </c>
      <c r="C76" s="1" t="n">
        <v>46193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24796-2026</t>
        </is>
      </c>
      <c r="B77" s="1" t="n">
        <v>46171</v>
      </c>
      <c r="C77" s="1" t="n">
        <v>46193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18780-2026</t>
        </is>
      </c>
      <c r="B78" s="1" t="n">
        <v>46128</v>
      </c>
      <c r="C78" s="1" t="n">
        <v>46193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2026-06-20T00:46:00Z</dcterms:created>
  <dcterms:modified xmlns:dcterms="http://purl.org/dc/terms/" xmlns:xsi="http://www.w3.org/2001/XMLSchema-instance" xsi:type="dcterms:W3CDTF">2026-06-20T00:46:00Z</dcterms:modified>
</cp:coreProperties>
</file>