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45925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45925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45925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8285-2022</t>
        </is>
      </c>
      <c r="B5" s="1" t="n">
        <v>44610</v>
      </c>
      <c r="C5" s="1" t="n">
        <v>45925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8285-2022 artfynd.xlsx", "A 8285-2022")</f>
        <v/>
      </c>
      <c r="T5">
        <f>HYPERLINK("https://klasma.github.io/Logging_0140/kartor/A 8285-2022 karta.png", "A 8285-2022")</f>
        <v/>
      </c>
      <c r="V5">
        <f>HYPERLINK("https://klasma.github.io/Logging_0140/klagomål/A 8285-2022 FSC-klagomål.docx", "A 8285-2022")</f>
        <v/>
      </c>
      <c r="W5">
        <f>HYPERLINK("https://klasma.github.io/Logging_0140/klagomålsmail/A 8285-2022 FSC-klagomål mail.docx", "A 8285-2022")</f>
        <v/>
      </c>
      <c r="X5">
        <f>HYPERLINK("https://klasma.github.io/Logging_0140/tillsyn/A 8285-2022 tillsynsbegäran.docx", "A 8285-2022")</f>
        <v/>
      </c>
      <c r="Y5">
        <f>HYPERLINK("https://klasma.github.io/Logging_0140/tillsynsmail/A 8285-2022 tillsynsbegäran mail.docx", "A 8285-2022")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45925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45925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45925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45925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45925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45925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45925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45925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45925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45925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44531-2022</t>
        </is>
      </c>
      <c r="B16" s="1" t="n">
        <v>44840</v>
      </c>
      <c r="C16" s="1" t="n">
        <v>45925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45925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45925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11996-2022</t>
        </is>
      </c>
      <c r="B19" s="1" t="n">
        <v>44635</v>
      </c>
      <c r="C19" s="1" t="n">
        <v>45925</v>
      </c>
      <c r="D19" t="inlineStr">
        <is>
          <t>STOCKHOLMS LÄN</t>
        </is>
      </c>
      <c r="E19" t="inlineStr">
        <is>
          <t>NYKVARN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73212-2021</t>
        </is>
      </c>
      <c r="B20" s="1" t="n">
        <v>44550</v>
      </c>
      <c r="C20" s="1" t="n">
        <v>45925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45925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8295-2022</t>
        </is>
      </c>
      <c r="B22" s="1" t="n">
        <v>44610</v>
      </c>
      <c r="C22" s="1" t="n">
        <v>45925</v>
      </c>
      <c r="D22" t="inlineStr">
        <is>
          <t>STOCKHOLMS LÄN</t>
        </is>
      </c>
      <c r="E22" t="inlineStr">
        <is>
          <t>NYKVARN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45925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45925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67220-2021</t>
        </is>
      </c>
      <c r="B25" s="1" t="n">
        <v>44523</v>
      </c>
      <c r="C25" s="1" t="n">
        <v>45925</v>
      </c>
      <c r="D25" t="inlineStr">
        <is>
          <t>STOCKHOLMS LÄN</t>
        </is>
      </c>
      <c r="E25" t="inlineStr">
        <is>
          <t>NYKVARN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68268-2020</t>
        </is>
      </c>
      <c r="B26" s="1" t="n">
        <v>44183</v>
      </c>
      <c r="C26" s="1" t="n">
        <v>45925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45925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50020-2023</t>
        </is>
      </c>
      <c r="B28" s="1" t="n">
        <v>45215.46996527778</v>
      </c>
      <c r="C28" s="1" t="n">
        <v>45925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48985-2020</t>
        </is>
      </c>
      <c r="B29" s="1" t="n">
        <v>44104</v>
      </c>
      <c r="C29" s="1" t="n">
        <v>45925</v>
      </c>
      <c r="D29" t="inlineStr">
        <is>
          <t>STOCKHOLMS LÄN</t>
        </is>
      </c>
      <c r="E29" t="inlineStr">
        <is>
          <t>NYKVARN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53307-2023</t>
        </is>
      </c>
      <c r="B30" s="1" t="n">
        <v>45229</v>
      </c>
      <c r="C30" s="1" t="n">
        <v>45925</v>
      </c>
      <c r="D30" t="inlineStr">
        <is>
          <t>STOCKHOLMS LÄN</t>
        </is>
      </c>
      <c r="E30" t="inlineStr">
        <is>
          <t>NYKVARN</t>
        </is>
      </c>
      <c r="F30" t="inlineStr">
        <is>
          <t>Kyrkan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53337-2023</t>
        </is>
      </c>
      <c r="B31" s="1" t="n">
        <v>45229.63960648148</v>
      </c>
      <c r="C31" s="1" t="n">
        <v>45925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54670-2023</t>
        </is>
      </c>
      <c r="B32" s="1" t="n">
        <v>45235</v>
      </c>
      <c r="C32" s="1" t="n">
        <v>45925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45925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45925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25278-2022</t>
        </is>
      </c>
      <c r="B35" s="1" t="n">
        <v>44730</v>
      </c>
      <c r="C35" s="1" t="n">
        <v>45925</v>
      </c>
      <c r="D35" t="inlineStr">
        <is>
          <t>STOCKHOLMS LÄN</t>
        </is>
      </c>
      <c r="E35" t="inlineStr">
        <is>
          <t>NYKVARN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51813-2024</t>
        </is>
      </c>
      <c r="B36" s="1" t="n">
        <v>45607.48734953703</v>
      </c>
      <c r="C36" s="1" t="n">
        <v>45925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8096-2023</t>
        </is>
      </c>
      <c r="B37" s="1" t="n">
        <v>44974.389375</v>
      </c>
      <c r="C37" s="1" t="n">
        <v>45925</v>
      </c>
      <c r="D37" t="inlineStr">
        <is>
          <t>STOCKHOLMS LÄN</t>
        </is>
      </c>
      <c r="E37" t="inlineStr">
        <is>
          <t>NYKVARN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18793-2023</t>
        </is>
      </c>
      <c r="B38" s="1" t="n">
        <v>45044</v>
      </c>
      <c r="C38" s="1" t="n">
        <v>45925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6854-2022</t>
        </is>
      </c>
      <c r="B39" s="1" t="n">
        <v>44602</v>
      </c>
      <c r="C39" s="1" t="n">
        <v>45925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22529-2022</t>
        </is>
      </c>
      <c r="B40" s="1" t="n">
        <v>44713</v>
      </c>
      <c r="C40" s="1" t="n">
        <v>45925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40168-2023</t>
        </is>
      </c>
      <c r="B41" s="1" t="n">
        <v>45169.38591435185</v>
      </c>
      <c r="C41" s="1" t="n">
        <v>45925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45925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45925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45925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52878-2022</t>
        </is>
      </c>
      <c r="B45" s="1" t="n">
        <v>44872</v>
      </c>
      <c r="C45" s="1" t="n">
        <v>45925</v>
      </c>
      <c r="D45" t="inlineStr">
        <is>
          <t>STOCKHOLMS LÄN</t>
        </is>
      </c>
      <c r="E45" t="inlineStr">
        <is>
          <t>NYKVARN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24283-2022</t>
        </is>
      </c>
      <c r="B46" s="1" t="n">
        <v>44725.79453703704</v>
      </c>
      <c r="C46" s="1" t="n">
        <v>45925</v>
      </c>
      <c r="D46" t="inlineStr">
        <is>
          <t>STOCKHOLMS LÄN</t>
        </is>
      </c>
      <c r="E46" t="inlineStr">
        <is>
          <t>NYKVARN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11393-2022</t>
        </is>
      </c>
      <c r="B47" s="1" t="n">
        <v>44630</v>
      </c>
      <c r="C47" s="1" t="n">
        <v>45925</v>
      </c>
      <c r="D47" t="inlineStr">
        <is>
          <t>STOCKHOLMS LÄN</t>
        </is>
      </c>
      <c r="E47" t="inlineStr">
        <is>
          <t>NYKVARN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60324-2022</t>
        </is>
      </c>
      <c r="B48" s="1" t="n">
        <v>44910.59086805556</v>
      </c>
      <c r="C48" s="1" t="n">
        <v>45925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11348-2022</t>
        </is>
      </c>
      <c r="B49" s="1" t="n">
        <v>44630.39990740741</v>
      </c>
      <c r="C49" s="1" t="n">
        <v>45925</v>
      </c>
      <c r="D49" t="inlineStr">
        <is>
          <t>STOCKHOLMS LÄN</t>
        </is>
      </c>
      <c r="E49" t="inlineStr">
        <is>
          <t>NYKVARN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59570-2020</t>
        </is>
      </c>
      <c r="B50" s="1" t="n">
        <v>44148</v>
      </c>
      <c r="C50" s="1" t="n">
        <v>45925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36986-2025</t>
        </is>
      </c>
      <c r="B51" s="1" t="n">
        <v>45874.65056712963</v>
      </c>
      <c r="C51" s="1" t="n">
        <v>45925</v>
      </c>
      <c r="D51" t="inlineStr">
        <is>
          <t>STOCKHOLMS LÄN</t>
        </is>
      </c>
      <c r="E51" t="inlineStr">
        <is>
          <t>NYKVARN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2172-2024</t>
        </is>
      </c>
      <c r="B52" s="1" t="n">
        <v>45309.63112268518</v>
      </c>
      <c r="C52" s="1" t="n">
        <v>45925</v>
      </c>
      <c r="D52" t="inlineStr">
        <is>
          <t>STOCKHOLMS LÄN</t>
        </is>
      </c>
      <c r="E52" t="inlineStr">
        <is>
          <t>NYKVARN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7926-2023</t>
        </is>
      </c>
      <c r="B53" s="1" t="n">
        <v>44973.6502662037</v>
      </c>
      <c r="C53" s="1" t="n">
        <v>45925</v>
      </c>
      <c r="D53" t="inlineStr">
        <is>
          <t>STOCKHOLMS LÄN</t>
        </is>
      </c>
      <c r="E53" t="inlineStr">
        <is>
          <t>NYKVARN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20711-2021</t>
        </is>
      </c>
      <c r="B54" s="1" t="n">
        <v>44316</v>
      </c>
      <c r="C54" s="1" t="n">
        <v>45925</v>
      </c>
      <c r="D54" t="inlineStr">
        <is>
          <t>STOCKHOLMS LÄN</t>
        </is>
      </c>
      <c r="E54" t="inlineStr">
        <is>
          <t>NYKVARN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23152-2021</t>
        </is>
      </c>
      <c r="B55" s="1" t="n">
        <v>44332</v>
      </c>
      <c r="C55" s="1" t="n">
        <v>45925</v>
      </c>
      <c r="D55" t="inlineStr">
        <is>
          <t>STOCKHOLMS LÄN</t>
        </is>
      </c>
      <c r="E55" t="inlineStr">
        <is>
          <t>NYKVARN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44969-2022</t>
        </is>
      </c>
      <c r="B56" s="1" t="n">
        <v>44841.58752314815</v>
      </c>
      <c r="C56" s="1" t="n">
        <v>45925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45925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11430-2022</t>
        </is>
      </c>
      <c r="B58" s="1" t="n">
        <v>44630.5968287037</v>
      </c>
      <c r="C58" s="1" t="n">
        <v>45925</v>
      </c>
      <c r="D58" t="inlineStr">
        <is>
          <t>STOCKHOLMS LÄN</t>
        </is>
      </c>
      <c r="E58" t="inlineStr">
        <is>
          <t>NYKVARN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45925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44947-2021</t>
        </is>
      </c>
      <c r="B60" s="1" t="n">
        <v>44438.69939814815</v>
      </c>
      <c r="C60" s="1" t="n">
        <v>45925</v>
      </c>
      <c r="D60" t="inlineStr">
        <is>
          <t>STOCKHOLMS LÄN</t>
        </is>
      </c>
      <c r="E60" t="inlineStr">
        <is>
          <t>NYKVARN</t>
        </is>
      </c>
      <c r="F60" t="inlineStr">
        <is>
          <t>Allmännings- och besparingsskogar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45925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18222-2025</t>
        </is>
      </c>
      <c r="B62" s="1" t="n">
        <v>45761.7321875</v>
      </c>
      <c r="C62" s="1" t="n">
        <v>45925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2177-2024</t>
        </is>
      </c>
      <c r="B63" s="1" t="n">
        <v>45309.64600694444</v>
      </c>
      <c r="C63" s="1" t="n">
        <v>45925</v>
      </c>
      <c r="D63" t="inlineStr">
        <is>
          <t>STOCKHOLMS LÄN</t>
        </is>
      </c>
      <c r="E63" t="inlineStr">
        <is>
          <t>NYKVARN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45925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23655-2025</t>
        </is>
      </c>
      <c r="B65" s="1" t="n">
        <v>45792</v>
      </c>
      <c r="C65" s="1" t="n">
        <v>45925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23284-2025</t>
        </is>
      </c>
      <c r="B66" s="1" t="n">
        <v>45791.57525462963</v>
      </c>
      <c r="C66" s="1" t="n">
        <v>45925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32555-2023</t>
        </is>
      </c>
      <c r="B67" s="1" t="n">
        <v>45121.43032407408</v>
      </c>
      <c r="C67" s="1" t="n">
        <v>45925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63592-2023</t>
        </is>
      </c>
      <c r="B68" s="1" t="n">
        <v>45275</v>
      </c>
      <c r="C68" s="1" t="n">
        <v>45925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26755-2025</t>
        </is>
      </c>
      <c r="B69" s="1" t="n">
        <v>45810.55623842592</v>
      </c>
      <c r="C69" s="1" t="n">
        <v>45925</v>
      </c>
      <c r="D69" t="inlineStr">
        <is>
          <t>STOCKHOLMS LÄN</t>
        </is>
      </c>
      <c r="E69" t="inlineStr">
        <is>
          <t>NYKVARN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26763-2025</t>
        </is>
      </c>
      <c r="B70" s="1" t="n">
        <v>45810.56418981482</v>
      </c>
      <c r="C70" s="1" t="n">
        <v>45925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6876-2022</t>
        </is>
      </c>
      <c r="B71" s="1" t="n">
        <v>44602</v>
      </c>
      <c r="C71" s="1" t="n">
        <v>45925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28607-2025</t>
        </is>
      </c>
      <c r="B72" s="1" t="n">
        <v>45819.60226851852</v>
      </c>
      <c r="C72" s="1" t="n">
        <v>45925</v>
      </c>
      <c r="D72" t="inlineStr">
        <is>
          <t>STOCKHOLMS LÄN</t>
        </is>
      </c>
      <c r="E72" t="inlineStr">
        <is>
          <t>NYKVARN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28598-2025</t>
        </is>
      </c>
      <c r="B73" s="1" t="n">
        <v>45819.59659722223</v>
      </c>
      <c r="C73" s="1" t="n">
        <v>45925</v>
      </c>
      <c r="D73" t="inlineStr">
        <is>
          <t>STOCKHOLMS LÄN</t>
        </is>
      </c>
      <c r="E73" t="inlineStr">
        <is>
          <t>NYKVARN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17328-2025</t>
        </is>
      </c>
      <c r="B74" s="1" t="n">
        <v>45756.64081018518</v>
      </c>
      <c r="C74" s="1" t="n">
        <v>45925</v>
      </c>
      <c r="D74" t="inlineStr">
        <is>
          <t>STOCKHOLMS LÄN</t>
        </is>
      </c>
      <c r="E74" t="inlineStr">
        <is>
          <t>NYKVARN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57389-2024</t>
        </is>
      </c>
      <c r="B75" s="1" t="n">
        <v>45629.68615740741</v>
      </c>
      <c r="C75" s="1" t="n">
        <v>45925</v>
      </c>
      <c r="D75" t="inlineStr">
        <is>
          <t>STOCKHOLMS LÄN</t>
        </is>
      </c>
      <c r="E75" t="inlineStr">
        <is>
          <t>NYKVARN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63400-2023</t>
        </is>
      </c>
      <c r="B76" s="1" t="n">
        <v>45274</v>
      </c>
      <c r="C76" s="1" t="n">
        <v>45925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38535-2025</t>
        </is>
      </c>
      <c r="B77" s="1" t="n">
        <v>45884.41943287037</v>
      </c>
      <c r="C77" s="1" t="n">
        <v>45925</v>
      </c>
      <c r="D77" t="inlineStr">
        <is>
          <t>STOCKHOLMS LÄN</t>
        </is>
      </c>
      <c r="E77" t="inlineStr">
        <is>
          <t>NYKVARN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41681-2023</t>
        </is>
      </c>
      <c r="B78" s="1" t="n">
        <v>45173</v>
      </c>
      <c r="C78" s="1" t="n">
        <v>45925</v>
      </c>
      <c r="D78" t="inlineStr">
        <is>
          <t>STOCKHOLMS LÄN</t>
        </is>
      </c>
      <c r="E78" t="inlineStr">
        <is>
          <t>NYKVARN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19903-2023</t>
        </is>
      </c>
      <c r="B79" s="1" t="n">
        <v>45054</v>
      </c>
      <c r="C79" s="1" t="n">
        <v>45925</v>
      </c>
      <c r="D79" t="inlineStr">
        <is>
          <t>STOCKHOLMS LÄN</t>
        </is>
      </c>
      <c r="E79" t="inlineStr">
        <is>
          <t>NYKVARN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56639-2023</t>
        </is>
      </c>
      <c r="B80" s="1" t="n">
        <v>45243.72300925926</v>
      </c>
      <c r="C80" s="1" t="n">
        <v>45925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2025-09-25T10:38:20Z</dcterms:created>
  <dcterms:modified xmlns:dcterms="http://purl.org/dc/terms/" xmlns:xsi="http://www.w3.org/2001/XMLSchema-instance" xsi:type="dcterms:W3CDTF">2025-09-25T10:38:20Z</dcterms:modified>
</cp:coreProperties>
</file>