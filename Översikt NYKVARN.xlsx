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46270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46270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46270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46270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46270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11388-2024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45372</v>
      </c>
      <c r="E7" s="1" t="n">
        <v>46270</v>
      </c>
      <c r="F7" t="inlineStr">
        <is>
          <t>STOCKHOLMS LÄN</t>
        </is>
      </c>
      <c r="G7" t="inlineStr">
        <is>
          <t>NYKVARN</t>
        </is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Igelkott</t>
        </is>
      </c>
      <c r="W7">
        <f>HYPERLINK("https://klasma.github.io/Logging_0140/artfynd/A 11388-2024 artfynd.xlsx", "A 11388-2024")</f>
        <v/>
      </c>
      <c r="X7">
        <f>HYPERLINK("https://klasma.github.io/Logging_0140/kartor/A 11388-2024 karta.png", "A 11388-2024")</f>
        <v/>
      </c>
      <c r="Y7">
        <f>HYPERLINK("https://klasma.github.io/Logging_0140/kartor_geotiff/A 11388-2024 georefererad karta.tif", "A 11388-2024")</f>
        <v/>
      </c>
      <c r="AA7">
        <f>HYPERLINK("https://klasma.github.io/Logging_0140/klagomål/A 11388-2024 FSC-klagomål.docx", "A 11388-2024")</f>
        <v/>
      </c>
      <c r="AB7">
        <f>HYPERLINK("https://klasma.github.io/Logging_0140/klagomålsmail/A 11388-2024 FSC-klagomål mail.docx", "A 11388-2024")</f>
        <v/>
      </c>
      <c r="AC7">
        <f>HYPERLINK("https://klasma.github.io/Logging_0140/tillsyn/A 11388-2024 tillsynsbegäran.docx", "A 11388-2024")</f>
        <v/>
      </c>
      <c r="AD7">
        <f>HYPERLINK("https://klasma.github.io/Logging_0140/tillsynsmail/A 11388-2024 tillsynsbegäran mail.docx", "A 11388-2024")</f>
        <v/>
      </c>
    </row>
    <row r="8" ht="15" customHeight="1">
      <c r="A8" t="inlineStr">
        <is>
          <t>A 18848-2024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45426</v>
      </c>
      <c r="E8" s="1" t="n">
        <v>46270</v>
      </c>
      <c r="F8" t="inlineStr">
        <is>
          <t>STOCKHOLMS LÄN</t>
        </is>
      </c>
      <c r="G8" t="inlineStr">
        <is>
          <t>NYKVARN</t>
        </is>
      </c>
      <c r="I8" t="n">
        <v>0.6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18848-2024 artfynd.xlsx", "A 18848-2024")</f>
        <v/>
      </c>
      <c r="X8">
        <f>HYPERLINK("https://klasma.github.io/Logging_0140/kartor/A 18848-2024 karta.png", "A 18848-2024")</f>
        <v/>
      </c>
      <c r="Y8">
        <f>HYPERLINK("https://klasma.github.io/Logging_0140/kartor_geotiff/A 18848-2024 georefererad karta.tif", "A 18848-2024")</f>
        <v/>
      </c>
      <c r="AA8">
        <f>HYPERLINK("https://klasma.github.io/Logging_0140/klagomål/A 18848-2024 FSC-klagomål.docx", "A 18848-2024")</f>
        <v/>
      </c>
      <c r="AB8">
        <f>HYPERLINK("https://klasma.github.io/Logging_0140/klagomålsmail/A 18848-2024 FSC-klagomål mail.docx", "A 18848-2024")</f>
        <v/>
      </c>
      <c r="AC8">
        <f>HYPERLINK("https://klasma.github.io/Logging_0140/tillsyn/A 18848-2024 tillsynsbegäran.docx", "A 18848-2024")</f>
        <v/>
      </c>
      <c r="AD8">
        <f>HYPERLINK("https://klasma.github.io/Logging_0140/tillsynsmail/A 18848-2024 tillsynsbegäran mail.docx", "A 18848-2024")</f>
        <v/>
      </c>
    </row>
    <row r="9" ht="15" customHeight="1">
      <c r="A9" t="inlineStr">
        <is>
          <t>A 25754-2023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45084</v>
      </c>
      <c r="E9" s="1" t="n">
        <v>46270</v>
      </c>
      <c r="F9" t="inlineStr">
        <is>
          <t>STOCKHOLMS LÄN</t>
        </is>
      </c>
      <c r="G9" t="inlineStr">
        <is>
          <t>NYKVARN</t>
        </is>
      </c>
      <c r="I9" t="n">
        <v>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Trana</t>
        </is>
      </c>
      <c r="W9">
        <f>HYPERLINK("https://klasma.github.io/Logging_0140/artfynd/A 25754-2023 artfynd.xlsx", "A 25754-2023")</f>
        <v/>
      </c>
      <c r="X9">
        <f>HYPERLINK("https://klasma.github.io/Logging_0140/kartor/A 25754-2023 karta.png", "A 25754-2023")</f>
        <v/>
      </c>
      <c r="Y9">
        <f>HYPERLINK("https://klasma.github.io/Logging_0140/kartor_geotiff/A 25754-2023 georefererad karta.tif", "A 25754-2023")</f>
        <v/>
      </c>
      <c r="AA9">
        <f>HYPERLINK("https://klasma.github.io/Logging_0140/klagomål/A 25754-2023 FSC-klagomål.docx", "A 25754-2023")</f>
        <v/>
      </c>
      <c r="AB9">
        <f>HYPERLINK("https://klasma.github.io/Logging_0140/klagomålsmail/A 25754-2023 FSC-klagomål mail.docx", "A 25754-2023")</f>
        <v/>
      </c>
      <c r="AC9">
        <f>HYPERLINK("https://klasma.github.io/Logging_0140/tillsyn/A 25754-2023 tillsynsbegäran.docx", "A 25754-2023")</f>
        <v/>
      </c>
      <c r="AD9">
        <f>HYPERLINK("https://klasma.github.io/Logging_0140/tillsynsmail/A 25754-2023 tillsynsbegäran mail.docx", "A 25754-2023")</f>
        <v/>
      </c>
      <c r="AE9">
        <f>HYPERLINK("https://klasma.github.io/Logging_0140/fåglar/A 25754-2023 prioriterade fågelarter.docx", "A 25754-2023")</f>
        <v/>
      </c>
    </row>
    <row r="10" ht="15" customHeight="1">
      <c r="A10" t="inlineStr">
        <is>
          <t>A 59342-2025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46270</v>
      </c>
      <c r="F10" t="inlineStr">
        <is>
          <t>STOCKHOLMS LÄN</t>
        </is>
      </c>
      <c r="G10" t="inlineStr">
        <is>
          <t>NYKVARN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Kösa</t>
        </is>
      </c>
      <c r="W10">
        <f>HYPERLINK("https://klasma.github.io/Logging_0140/artfynd/A 59342-2025 artfynd.xlsx", "A 59342-2025")</f>
        <v/>
      </c>
      <c r="X10">
        <f>HYPERLINK("https://klasma.github.io/Logging_0140/kartor/A 59342-2025 karta.png", "A 59342-2025")</f>
        <v/>
      </c>
      <c r="Y10">
        <f>HYPERLINK("https://klasma.github.io/Logging_0140/kartor_geotiff/A 59342-2025 georefererad karta.tif", "A 59342-2025")</f>
        <v/>
      </c>
      <c r="AA10">
        <f>HYPERLINK("https://klasma.github.io/Logging_0140/klagomål/A 59342-2025 FSC-klagomål.docx", "A 59342-2025")</f>
        <v/>
      </c>
      <c r="AB10">
        <f>HYPERLINK("https://klasma.github.io/Logging_0140/klagomålsmail/A 59342-2025 FSC-klagomål mail.docx", "A 59342-2025")</f>
        <v/>
      </c>
      <c r="AC10">
        <f>HYPERLINK("https://klasma.github.io/Logging_0140/tillsyn/A 59342-2025 tillsynsbegäran.docx", "A 59342-2025")</f>
        <v/>
      </c>
      <c r="AD10">
        <f>HYPERLINK("https://klasma.github.io/Logging_0140/tillsynsmail/A 59342-2025 tillsynsbegäran mail.docx", "A 59342-2025")</f>
        <v/>
      </c>
    </row>
    <row r="11" ht="15" customHeight="1">
      <c r="A11" t="inlineStr">
        <is>
          <t>A 15912-2026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46107</v>
      </c>
      <c r="E11" s="1" t="n">
        <v>46270</v>
      </c>
      <c r="F11" t="inlineStr">
        <is>
          <t>STOCKHOLMS LÄN</t>
        </is>
      </c>
      <c r="G11" t="inlineStr">
        <is>
          <t>NYKVARN</t>
        </is>
      </c>
      <c r="H11" t="inlineStr">
        <is>
          <t>Sveaskog</t>
        </is>
      </c>
      <c r="I11" t="n">
        <v>12.9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Skogsödla</t>
        </is>
      </c>
      <c r="W11">
        <f>HYPERLINK("https://klasma.github.io/Logging_0140/artfynd/A 15912-2026 artfynd.xlsx", "A 15912-2026")</f>
        <v/>
      </c>
      <c r="X11">
        <f>HYPERLINK("https://klasma.github.io/Logging_0140/kartor/A 15912-2026 karta.png", "A 15912-2026")</f>
        <v/>
      </c>
      <c r="Y11">
        <f>HYPERLINK("https://klasma.github.io/Logging_0140/kartor_geotiff/A 15912-2026 georefererad karta.tif", "A 15912-2026")</f>
        <v/>
      </c>
      <c r="AA11">
        <f>HYPERLINK("https://klasma.github.io/Logging_0140/klagomål/A 15912-2026 FSC-klagomål.docx", "A 15912-2026")</f>
        <v/>
      </c>
      <c r="AB11">
        <f>HYPERLINK("https://klasma.github.io/Logging_0140/klagomålsmail/A 15912-2026 FSC-klagomål mail.docx", "A 15912-2026")</f>
        <v/>
      </c>
      <c r="AC11">
        <f>HYPERLINK("https://klasma.github.io/Logging_0140/tillsyn/A 15912-2026 tillsynsbegäran.docx", "A 15912-2026")</f>
        <v/>
      </c>
      <c r="AD11">
        <f>HYPERLINK("https://klasma.github.io/Logging_0140/tillsynsmail/A 15912-2026 tillsynsbegäran mail.docx", "A 15912-2026")</f>
        <v/>
      </c>
    </row>
    <row r="12" ht="15" customHeight="1">
      <c r="A12" t="inlineStr">
        <is>
          <t>A 17009-2026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46114</v>
      </c>
      <c r="E12" s="1" t="n">
        <v>46270</v>
      </c>
      <c r="F12" t="inlineStr">
        <is>
          <t>STOCKHOLMS LÄN</t>
        </is>
      </c>
      <c r="G12" t="inlineStr">
        <is>
          <t>NYKVARN</t>
        </is>
      </c>
      <c r="H12" t="inlineStr">
        <is>
          <t>Sveaskog</t>
        </is>
      </c>
      <c r="I12" t="n">
        <v>8.699999999999999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Mattlummer</t>
        </is>
      </c>
      <c r="W12">
        <f>HYPERLINK("https://klasma.github.io/Logging_0140/artfynd/A 17009-2026 artfynd.xlsx", "A 17009-2026")</f>
        <v/>
      </c>
      <c r="X12">
        <f>HYPERLINK("https://klasma.github.io/Logging_0140/kartor/A 17009-2026 karta.png", "A 17009-2026")</f>
        <v/>
      </c>
      <c r="Y12">
        <f>HYPERLINK("https://klasma.github.io/Logging_0140/kartor_geotiff/A 17009-2026 georefererad karta.tif", "A 17009-2026")</f>
        <v/>
      </c>
      <c r="AA12">
        <f>HYPERLINK("https://klasma.github.io/Logging_0140/klagomål/A 17009-2026 FSC-klagomål.docx", "A 17009-2026")</f>
        <v/>
      </c>
      <c r="AB12">
        <f>HYPERLINK("https://klasma.github.io/Logging_0140/klagomålsmail/A 17009-2026 FSC-klagomål mail.docx", "A 17009-2026")</f>
        <v/>
      </c>
      <c r="AC12">
        <f>HYPERLINK("https://klasma.github.io/Logging_0140/tillsyn/A 17009-2026 tillsynsbegäran.docx", "A 17009-2026")</f>
        <v/>
      </c>
      <c r="AD12">
        <f>HYPERLINK("https://klasma.github.io/Logging_0140/tillsynsmail/A 17009-2026 tillsynsbegäran mail.docx", "A 17009-2026")</f>
        <v/>
      </c>
    </row>
    <row r="13" ht="15" customHeight="1">
      <c r="A13" t="inlineStr">
        <is>
          <t>A 37597-2024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45541</v>
      </c>
      <c r="E13" s="1" t="n">
        <v>46270</v>
      </c>
      <c r="F13" t="inlineStr">
        <is>
          <t>STOCKHOLMS LÄN</t>
        </is>
      </c>
      <c r="G13" t="inlineStr">
        <is>
          <t>NYKVARN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Röd glada</t>
        </is>
      </c>
      <c r="W13">
        <f>HYPERLINK("https://klasma.github.io/Logging_0140/artfynd/A 37597-2024 artfynd.xlsx", "A 37597-2024")</f>
        <v/>
      </c>
      <c r="X13">
        <f>HYPERLINK("https://klasma.github.io/Logging_0140/kartor/A 37597-2024 karta.png", "A 37597-2024")</f>
        <v/>
      </c>
      <c r="Y13">
        <f>HYPERLINK("https://klasma.github.io/Logging_0140/kartor_geotiff/A 37597-2024 georefererad karta.tif", "A 37597-2024")</f>
        <v/>
      </c>
      <c r="AA13">
        <f>HYPERLINK("https://klasma.github.io/Logging_0140/klagomål/A 37597-2024 FSC-klagomål.docx", "A 37597-2024")</f>
        <v/>
      </c>
      <c r="AB13">
        <f>HYPERLINK("https://klasma.github.io/Logging_0140/klagomålsmail/A 37597-2024 FSC-klagomål mail.docx", "A 37597-2024")</f>
        <v/>
      </c>
      <c r="AC13">
        <f>HYPERLINK("https://klasma.github.io/Logging_0140/tillsyn/A 37597-2024 tillsynsbegäran.docx", "A 37597-2024")</f>
        <v/>
      </c>
      <c r="AD13">
        <f>HYPERLINK("https://klasma.github.io/Logging_0140/tillsynsmail/A 37597-2024 tillsynsbegäran mail.docx", "A 37597-2024")</f>
        <v/>
      </c>
      <c r="AE13">
        <f>HYPERLINK("https://klasma.github.io/Logging_0140/fåglar/A 37597-2024 prioriterade fågelarter.docx", "A 37597-2024")</f>
        <v/>
      </c>
    </row>
    <row r="14" ht="15" customHeight="1">
      <c r="A14" t="inlineStr">
        <is>
          <t>A 39539-2023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45167</v>
      </c>
      <c r="E14" s="1" t="n">
        <v>46270</v>
      </c>
      <c r="F14" t="inlineStr">
        <is>
          <t>STOCKHOLMS LÄN</t>
        </is>
      </c>
      <c r="G14" t="inlineStr">
        <is>
          <t>NYKVARN</t>
        </is>
      </c>
      <c r="I14" t="n">
        <v>2.3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HYPERLINK("https://klasma.github.io/Logging_0140/artfynd/A 39539-2023 artfynd.xlsx", "A 39539-2023")</f>
        <v/>
      </c>
      <c r="X14">
        <f>HYPERLINK("https://klasma.github.io/Logging_0140/kartor/A 39539-2023 karta.png", "A 39539-2023")</f>
        <v/>
      </c>
      <c r="Y14">
        <f>HYPERLINK("https://klasma.github.io/Logging_0140/kartor_geotiff/A 39539-2023 georefererad karta.tif", "A 39539-2023")</f>
        <v/>
      </c>
      <c r="AA14">
        <f>HYPERLINK("https://klasma.github.io/Logging_0140/klagomål/A 39539-2023 FSC-klagomål.docx", "A 39539-2023")</f>
        <v/>
      </c>
      <c r="AB14">
        <f>HYPERLINK("https://klasma.github.io/Logging_0140/klagomålsmail/A 39539-2023 FSC-klagomål mail.docx", "A 39539-2023")</f>
        <v/>
      </c>
      <c r="AC14">
        <f>HYPERLINK("https://klasma.github.io/Logging_0140/tillsyn/A 39539-2023 tillsynsbegäran.docx", "A 39539-2023")</f>
        <v/>
      </c>
      <c r="AD14">
        <f>HYPERLINK("https://klasma.github.io/Logging_0140/tillsynsmail/A 39539-2023 tillsynsbegäran mail.docx", "A 39539-2023")</f>
        <v/>
      </c>
    </row>
    <row r="15" ht="15" customHeight="1">
      <c r="A15" t="inlineStr">
        <is>
          <t>A 6876-2022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46270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5.1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HYPERLINK("https://klasma.github.io/Logging_0140/artfynd/A 6876-2022 artfynd.xlsx", "A 6876-2022")</f>
        <v/>
      </c>
      <c r="X15">
        <f>HYPERLINK("https://klasma.github.io/Logging_0140/kartor/A 6876-2022 karta.png", "A 6876-2022")</f>
        <v/>
      </c>
      <c r="Y15">
        <f>HYPERLINK("https://klasma.github.io/Logging_0140/kartor_geotiff/A 6876-2022 georefererad karta.tif", "A 6876-2022")</f>
        <v/>
      </c>
      <c r="AA15">
        <f>HYPERLINK("https://klasma.github.io/Logging_0140/klagomål/A 6876-2022 FSC-klagomål.docx", "A 6876-2022")</f>
        <v/>
      </c>
      <c r="AB15">
        <f>HYPERLINK("https://klasma.github.io/Logging_0140/klagomålsmail/A 6876-2022 FSC-klagomål mail.docx", "A 6876-2022")</f>
        <v/>
      </c>
      <c r="AC15">
        <f>HYPERLINK("https://klasma.github.io/Logging_0140/tillsyn/A 6876-2022 tillsynsbegäran.docx", "A 6876-2022")</f>
        <v/>
      </c>
      <c r="AD15">
        <f>HYPERLINK("https://klasma.github.io/Logging_0140/tillsynsmail/A 6876-2022 tillsynsbegäran mail.docx", "A 6876-2022")</f>
        <v/>
      </c>
    </row>
    <row r="16" ht="15" customHeight="1">
      <c r="A16" t="inlineStr">
        <is>
          <t>A 8285-2022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44610</v>
      </c>
      <c r="E16" s="1" t="n">
        <v>46270</v>
      </c>
      <c r="F16" t="inlineStr">
        <is>
          <t>STOCKHOLMS LÄN</t>
        </is>
      </c>
      <c r="G16" t="inlineStr">
        <is>
          <t>NYKVARN</t>
        </is>
      </c>
      <c r="I16" t="n">
        <v>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HYPERLINK("https://klasma.github.io/Logging_0140/artfynd/A 8285-2022 artfynd.xlsx", "A 8285-2022")</f>
        <v/>
      </c>
      <c r="X16">
        <f>HYPERLINK("https://klasma.github.io/Logging_0140/kartor/A 8285-2022 karta.png", "A 8285-2022")</f>
        <v/>
      </c>
      <c r="Y16">
        <f>HYPERLINK("https://klasma.github.io/Logging_0140/kartor_geotiff/A 8285-2022 georefererad karta.tif", "A 8285-2022")</f>
        <v/>
      </c>
      <c r="AA16">
        <f>HYPERLINK("https://klasma.github.io/Logging_0140/klagomål/A 8285-2022 FSC-klagomål.docx", "A 8285-2022")</f>
        <v/>
      </c>
      <c r="AB16">
        <f>HYPERLINK("https://klasma.github.io/Logging_0140/klagomålsmail/A 8285-2022 FSC-klagomål mail.docx", "A 8285-2022")</f>
        <v/>
      </c>
      <c r="AC16">
        <f>HYPERLINK("https://klasma.github.io/Logging_0140/tillsyn/A 8285-2022 tillsynsbegäran.docx", "A 8285-2022")</f>
        <v/>
      </c>
      <c r="AD16">
        <f>HYPERLINK("https://klasma.github.io/Logging_0140/tillsynsmail/A 8285-2022 tillsynsbegäran mail.docx", "A 8285-2022")</f>
        <v/>
      </c>
    </row>
    <row r="17" ht="15" customHeight="1">
      <c r="A17" t="inlineStr">
        <is>
          <t>A 24790-2026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46171</v>
      </c>
      <c r="E17" s="1" t="n">
        <v>46270</v>
      </c>
      <c r="F17" t="inlineStr">
        <is>
          <t>STOCKHOLMS LÄN</t>
        </is>
      </c>
      <c r="G17" t="inlineStr">
        <is>
          <t>NYKVARN</t>
        </is>
      </c>
      <c r="H17" t="inlineStr">
        <is>
          <t>Kommuner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Kopparödla</t>
        </is>
      </c>
      <c r="W17">
        <f>HYPERLINK("https://klasma.github.io/Logging_0140/artfynd/A 24790-2026 artfynd.xlsx", "A 24790-2026")</f>
        <v/>
      </c>
      <c r="X17">
        <f>HYPERLINK("https://klasma.github.io/Logging_0140/kartor/A 24790-2026 karta.png", "A 24790-2026")</f>
        <v/>
      </c>
      <c r="Y17">
        <f>HYPERLINK("https://klasma.github.io/Logging_0140/kartor_geotiff/A 24790-2026 georefererad karta.tif", "A 24790-2026")</f>
        <v/>
      </c>
      <c r="AA17">
        <f>HYPERLINK("https://klasma.github.io/Logging_0140/klagomål/A 24790-2026 FSC-klagomål.docx", "A 24790-2026")</f>
        <v/>
      </c>
      <c r="AB17">
        <f>HYPERLINK("https://klasma.github.io/Logging_0140/klagomålsmail/A 24790-2026 FSC-klagomål mail.docx", "A 24790-2026")</f>
        <v/>
      </c>
      <c r="AC17">
        <f>HYPERLINK("https://klasma.github.io/Logging_0140/tillsyn/A 24790-2026 tillsynsbegäran.docx", "A 24790-2026")</f>
        <v/>
      </c>
      <c r="AD17">
        <f>HYPERLINK("https://klasma.github.io/Logging_0140/tillsynsmail/A 24790-2026 tillsynsbegäran mail.docx", "A 24790-2026")</f>
        <v/>
      </c>
    </row>
    <row r="18" ht="15" customHeight="1">
      <c r="A18" t="inlineStr">
        <is>
          <t>A 11393-2022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44630</v>
      </c>
      <c r="E18" s="1" t="n">
        <v>46270</v>
      </c>
      <c r="F18" t="inlineStr">
        <is>
          <t>STOCKHOLMS LÄN</t>
        </is>
      </c>
      <c r="G18" t="inlineStr">
        <is>
          <t>NYKVARN</t>
        </is>
      </c>
      <c r="I18" t="n">
        <v>3.8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Björksplintborre</t>
        </is>
      </c>
      <c r="W18">
        <f>HYPERLINK("https://klasma.github.io/Logging_0140/artfynd/A 11393-2022 artfynd.xlsx", "A 11393-2022")</f>
        <v/>
      </c>
      <c r="X18">
        <f>HYPERLINK("https://klasma.github.io/Logging_0140/kartor/A 11393-2022 karta.png", "A 11393-2022")</f>
        <v/>
      </c>
      <c r="Y18">
        <f>HYPERLINK("https://klasma.github.io/Logging_0140/kartor_geotiff/A 11393-2022 georefererad karta.tif", "A 11393-2022")</f>
        <v/>
      </c>
      <c r="AA18">
        <f>HYPERLINK("https://klasma.github.io/Logging_0140/klagomål/A 11393-2022 FSC-klagomål.docx", "A 11393-2022")</f>
        <v/>
      </c>
      <c r="AB18">
        <f>HYPERLINK("https://klasma.github.io/Logging_0140/klagomålsmail/A 11393-2022 FSC-klagomål mail.docx", "A 11393-2022")</f>
        <v/>
      </c>
      <c r="AC18">
        <f>HYPERLINK("https://klasma.github.io/Logging_0140/tillsyn/A 11393-2022 tillsynsbegäran.docx", "A 11393-2022")</f>
        <v/>
      </c>
      <c r="AD18">
        <f>HYPERLINK("https://klasma.github.io/Logging_0140/tillsynsmail/A 11393-2022 tillsynsbegäran mail.docx", "A 11393-2022")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46270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46270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46270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46270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46270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46270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46270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46270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46270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73212-2021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44550</v>
      </c>
      <c r="E28" s="1" t="n">
        <v>46270</v>
      </c>
      <c r="F28" t="inlineStr">
        <is>
          <t>STOCKHOLMS LÄN</t>
        </is>
      </c>
      <c r="G28" t="inlineStr">
        <is>
          <t>NYKVARN</t>
        </is>
      </c>
      <c r="H28" t="inlineStr">
        <is>
          <t>Allmännings- och besparingsskogar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24281-2022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46270</v>
      </c>
      <c r="F29" t="inlineStr">
        <is>
          <t>STOCKHOLMS LÄN</t>
        </is>
      </c>
      <c r="G29" t="inlineStr">
        <is>
          <t>NYKVARN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44610</v>
      </c>
      <c r="E30" s="1" t="n">
        <v>46270</v>
      </c>
      <c r="F30" t="inlineStr">
        <is>
          <t>STOCKHOLMS LÄN</t>
        </is>
      </c>
      <c r="G30" t="inlineStr">
        <is>
          <t>NYKVARN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67220-2021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44523</v>
      </c>
      <c r="E31" s="1" t="n">
        <v>46270</v>
      </c>
      <c r="F31" t="inlineStr">
        <is>
          <t>STOCKHOLMS LÄN</t>
        </is>
      </c>
      <c r="G31" t="inlineStr">
        <is>
          <t>NYKVARN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11996-2022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44635</v>
      </c>
      <c r="E32" s="1" t="n">
        <v>46270</v>
      </c>
      <c r="F32" t="inlineStr">
        <is>
          <t>STOCKHOLMS LÄN</t>
        </is>
      </c>
      <c r="G32" t="inlineStr">
        <is>
          <t>NYKVARN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22531-2022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44713</v>
      </c>
      <c r="E33" s="1" t="n">
        <v>46270</v>
      </c>
      <c r="F33" t="inlineStr">
        <is>
          <t>STOCKHOLMS LÄN</t>
        </is>
      </c>
      <c r="G33" t="inlineStr">
        <is>
          <t>NYKVARN</t>
        </is>
      </c>
      <c r="H33" t="inlineStr">
        <is>
          <t>Allmännings- och besparingsskogar</t>
        </is>
      </c>
      <c r="I33" t="n">
        <v>10.1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52878-2022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44872</v>
      </c>
      <c r="E34" s="1" t="n">
        <v>46270</v>
      </c>
      <c r="F34" t="inlineStr">
        <is>
          <t>STOCKHOLMS LÄN</t>
        </is>
      </c>
      <c r="G34" t="inlineStr">
        <is>
          <t>NYKVARN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2172-2024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45309</v>
      </c>
      <c r="E35" s="1" t="n">
        <v>46270</v>
      </c>
      <c r="F35" t="inlineStr">
        <is>
          <t>STOCKHOLMS LÄN</t>
        </is>
      </c>
      <c r="G35" t="inlineStr">
        <is>
          <t>NYKVARN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44969-2022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44841</v>
      </c>
      <c r="E36" s="1" t="n">
        <v>46270</v>
      </c>
      <c r="F36" t="inlineStr">
        <is>
          <t>STOCKHOLMS LÄN</t>
        </is>
      </c>
      <c r="G36" t="inlineStr">
        <is>
          <t>NYKVARN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51787-2021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44462</v>
      </c>
      <c r="E37" s="1" t="n">
        <v>46270</v>
      </c>
      <c r="F37" t="inlineStr">
        <is>
          <t>STOCKHOLMS LÄN</t>
        </is>
      </c>
      <c r="G37" t="inlineStr">
        <is>
          <t>NYKVARN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38535-2025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45884</v>
      </c>
      <c r="E38" s="1" t="n">
        <v>46270</v>
      </c>
      <c r="F38" t="inlineStr">
        <is>
          <t>STOCKHOLMS LÄN</t>
        </is>
      </c>
      <c r="G38" t="inlineStr">
        <is>
          <t>NYKVARN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53307-2023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46270</v>
      </c>
      <c r="F39" t="inlineStr">
        <is>
          <t>STOCKHOLMS LÄN</t>
        </is>
      </c>
      <c r="G39" t="inlineStr">
        <is>
          <t>NYKVARN</t>
        </is>
      </c>
      <c r="H39" t="inlineStr">
        <is>
          <t>Kyrkan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6857-2022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44602</v>
      </c>
      <c r="E40" s="1" t="n">
        <v>46270</v>
      </c>
      <c r="F40" t="inlineStr">
        <is>
          <t>STOCKHOLMS LÄN</t>
        </is>
      </c>
      <c r="G40" t="inlineStr">
        <is>
          <t>NYKVARN</t>
        </is>
      </c>
      <c r="H40" t="inlineStr">
        <is>
          <t>Kommuner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32555-2023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45121</v>
      </c>
      <c r="E41" s="1" t="n">
        <v>46270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60324-2022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44910</v>
      </c>
      <c r="E42" s="1" t="n">
        <v>46270</v>
      </c>
      <c r="F42" t="inlineStr">
        <is>
          <t>STOCKHOLMS LÄN</t>
        </is>
      </c>
      <c r="G42" t="inlineStr">
        <is>
          <t>NYKVARN</t>
        </is>
      </c>
      <c r="H42" t="inlineStr">
        <is>
          <t>Kyrkan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43230-2022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46270</v>
      </c>
      <c r="F43" t="inlineStr">
        <is>
          <t>STOCKHOLMS LÄN</t>
        </is>
      </c>
      <c r="G43" t="inlineStr">
        <is>
          <t>NYKVARN</t>
        </is>
      </c>
      <c r="H43" t="inlineStr">
        <is>
          <t>Allmännings- och besparingsskogar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44630</v>
      </c>
      <c r="E44" s="1" t="n">
        <v>46270</v>
      </c>
      <c r="F44" t="inlineStr">
        <is>
          <t>STOCKHOLMS LÄN</t>
        </is>
      </c>
      <c r="G44" t="inlineStr">
        <is>
          <t>NYKVARN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59348-2025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45989</v>
      </c>
      <c r="E45" s="1" t="n">
        <v>46270</v>
      </c>
      <c r="F45" t="inlineStr">
        <is>
          <t>STOCKHOLMS LÄN</t>
        </is>
      </c>
      <c r="G45" t="inlineStr">
        <is>
          <t>NYKVARN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40168-2023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45169</v>
      </c>
      <c r="E46" s="1" t="n">
        <v>46270</v>
      </c>
      <c r="F46" t="inlineStr">
        <is>
          <t>STOCKHOLMS LÄN</t>
        </is>
      </c>
      <c r="G46" t="inlineStr">
        <is>
          <t>NYKVARN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41681-2023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45173</v>
      </c>
      <c r="E47" s="1" t="n">
        <v>46270</v>
      </c>
      <c r="F47" t="inlineStr">
        <is>
          <t>STOCKHOLMS LÄN</t>
        </is>
      </c>
      <c r="G47" t="inlineStr">
        <is>
          <t>NYKVARN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24283-2022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44725</v>
      </c>
      <c r="E48" s="1" t="n">
        <v>46270</v>
      </c>
      <c r="F48" t="inlineStr">
        <is>
          <t>STOCKHOLMS LÄN</t>
        </is>
      </c>
      <c r="G48" t="inlineStr">
        <is>
          <t>NYKVARN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8096-2023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44974</v>
      </c>
      <c r="E49" s="1" t="n">
        <v>46270</v>
      </c>
      <c r="F49" t="inlineStr">
        <is>
          <t>STOCKHOLMS LÄN</t>
        </is>
      </c>
      <c r="G49" t="inlineStr">
        <is>
          <t>NYKVARN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54583-2023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45233</v>
      </c>
      <c r="E50" s="1" t="n">
        <v>46270</v>
      </c>
      <c r="F50" t="inlineStr">
        <is>
          <t>STOCKHOLMS LÄN</t>
        </is>
      </c>
      <c r="G50" t="inlineStr">
        <is>
          <t>NYKVARN</t>
        </is>
      </c>
      <c r="H50" t="inlineStr">
        <is>
          <t>Kommuner</t>
        </is>
      </c>
      <c r="I50" t="n">
        <v>8.4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54670-2023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45235</v>
      </c>
      <c r="E51" s="1" t="n">
        <v>46270</v>
      </c>
      <c r="F51" t="inlineStr">
        <is>
          <t>STOCKHOLMS LÄN</t>
        </is>
      </c>
      <c r="G51" t="inlineStr">
        <is>
          <t>NYKVARN</t>
        </is>
      </c>
      <c r="H51" t="inlineStr">
        <is>
          <t>Kommuner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17328-2025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45756</v>
      </c>
      <c r="E52" s="1" t="n">
        <v>46270</v>
      </c>
      <c r="F52" t="inlineStr">
        <is>
          <t>STOCKHOLMS LÄN</t>
        </is>
      </c>
      <c r="G52" t="inlineStr">
        <is>
          <t>NYKVARN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18780-2026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46270</v>
      </c>
      <c r="F53" t="inlineStr">
        <is>
          <t>STOCKHOLMS LÄN</t>
        </is>
      </c>
      <c r="G53" t="inlineStr">
        <is>
          <t>NYKVARN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19217-2026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46132</v>
      </c>
      <c r="E54" s="1" t="n">
        <v>46270</v>
      </c>
      <c r="F54" t="inlineStr">
        <is>
          <t>STOCKHOLMS LÄN</t>
        </is>
      </c>
      <c r="G54" t="inlineStr">
        <is>
          <t>NYKVARN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56639-2023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45243</v>
      </c>
      <c r="E55" s="1" t="n">
        <v>46270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45274</v>
      </c>
      <c r="E56" s="1" t="n">
        <v>46270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19487-2023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45050</v>
      </c>
      <c r="E57" s="1" t="n">
        <v>46270</v>
      </c>
      <c r="F57" t="inlineStr">
        <is>
          <t>STOCKHOLMS LÄN</t>
        </is>
      </c>
      <c r="G57" t="inlineStr">
        <is>
          <t>NYKVARN</t>
        </is>
      </c>
      <c r="H57" t="inlineStr">
        <is>
          <t>Sveaskog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45044</v>
      </c>
      <c r="E58" s="1" t="n">
        <v>46270</v>
      </c>
      <c r="F58" t="inlineStr">
        <is>
          <t>STOCKHOLMS LÄN</t>
        </is>
      </c>
      <c r="G58" t="inlineStr">
        <is>
          <t>NYKVARN</t>
        </is>
      </c>
      <c r="H58" t="inlineStr">
        <is>
          <t>Kyrkan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50020-2023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45215</v>
      </c>
      <c r="E59" s="1" t="n">
        <v>46270</v>
      </c>
      <c r="F59" t="inlineStr">
        <is>
          <t>STOCKHOLMS LÄN</t>
        </is>
      </c>
      <c r="G59" t="inlineStr">
        <is>
          <t>NYKVARN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63586-2023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45275</v>
      </c>
      <c r="E60" s="1" t="n">
        <v>46270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50031-2023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46270</v>
      </c>
      <c r="F61" t="inlineStr">
        <is>
          <t>STOCKHOLMS LÄN</t>
        </is>
      </c>
      <c r="G61" t="inlineStr">
        <is>
          <t>NYKVARN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44730</v>
      </c>
      <c r="E62" s="1" t="n">
        <v>46270</v>
      </c>
      <c r="F62" t="inlineStr">
        <is>
          <t>STOCKHOLMS LÄN</t>
        </is>
      </c>
      <c r="G62" t="inlineStr">
        <is>
          <t>NYKVARN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71540-2021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44540</v>
      </c>
      <c r="E63" s="1" t="n">
        <v>46270</v>
      </c>
      <c r="F63" t="inlineStr">
        <is>
          <t>STOCKHOLMS LÄN</t>
        </is>
      </c>
      <c r="G63" t="inlineStr">
        <is>
          <t>NYKVARN</t>
        </is>
      </c>
      <c r="I63" t="n">
        <v>6.7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7926-2023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44973</v>
      </c>
      <c r="E64" s="1" t="n">
        <v>46270</v>
      </c>
      <c r="F64" t="inlineStr">
        <is>
          <t>STOCKHOLMS LÄN</t>
        </is>
      </c>
      <c r="G64" t="inlineStr">
        <is>
          <t>NYKVARN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22529-2022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44713</v>
      </c>
      <c r="E65" s="1" t="n">
        <v>46270</v>
      </c>
      <c r="F65" t="inlineStr">
        <is>
          <t>STOCKHOLMS LÄN</t>
        </is>
      </c>
      <c r="G65" t="inlineStr">
        <is>
          <t>NYKVARN</t>
        </is>
      </c>
      <c r="H65" t="inlineStr">
        <is>
          <t>Allmännings- och besparingsskogar</t>
        </is>
      </c>
      <c r="I65" t="n">
        <v>8.4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19903-2023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45054</v>
      </c>
      <c r="E66" s="1" t="n">
        <v>46270</v>
      </c>
      <c r="F66" t="inlineStr">
        <is>
          <t>STOCKHOLMS LÄN</t>
        </is>
      </c>
      <c r="G66" t="inlineStr">
        <is>
          <t>NYKVARN</t>
        </is>
      </c>
      <c r="I66" t="n">
        <v>7.2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53337-2023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46270</v>
      </c>
      <c r="F67" t="inlineStr">
        <is>
          <t>STOCKHOLMS LÄN</t>
        </is>
      </c>
      <c r="G67" t="inlineStr">
        <is>
          <t>NYKVARN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24796-2026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46171</v>
      </c>
      <c r="E68" s="1" t="n">
        <v>46270</v>
      </c>
      <c r="F68" t="inlineStr">
        <is>
          <t>STOCKHOLMS LÄN</t>
        </is>
      </c>
      <c r="G68" t="inlineStr">
        <is>
          <t>NYKVARN</t>
        </is>
      </c>
      <c r="H68" t="inlineStr">
        <is>
          <t>Kommuner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36986-2025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45874</v>
      </c>
      <c r="E69" s="1" t="n">
        <v>46270</v>
      </c>
      <c r="F69" t="inlineStr">
        <is>
          <t>STOCKHOLMS LÄN</t>
        </is>
      </c>
      <c r="G69" t="inlineStr">
        <is>
          <t>NYKVARN</t>
        </is>
      </c>
      <c r="I69" t="n">
        <v>10.6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51813-2024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45607</v>
      </c>
      <c r="E70" s="1" t="n">
        <v>46270</v>
      </c>
      <c r="F70" t="inlineStr">
        <is>
          <t>STOCKHOLMS LÄN</t>
        </is>
      </c>
      <c r="G70" t="inlineStr">
        <is>
          <t>NYKVARN</t>
        </is>
      </c>
      <c r="H70" t="inlineStr">
        <is>
          <t>Sveaskog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44602</v>
      </c>
      <c r="E71" s="1" t="n">
        <v>46270</v>
      </c>
      <c r="F71" t="inlineStr">
        <is>
          <t>STOCKHOLMS LÄN</t>
        </is>
      </c>
      <c r="G71" t="inlineStr">
        <is>
          <t>NYKVARN</t>
        </is>
      </c>
      <c r="H71" t="inlineStr">
        <is>
          <t>Kommuner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63592-2023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45275</v>
      </c>
      <c r="E72" s="1" t="n">
        <v>46270</v>
      </c>
      <c r="F72" t="inlineStr">
        <is>
          <t>STOCKHOLMS LÄN</t>
        </is>
      </c>
      <c r="G72" t="inlineStr">
        <is>
          <t>NYKVARN</t>
        </is>
      </c>
      <c r="H72" t="inlineStr">
        <is>
          <t>Kommuner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18222-2025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45761</v>
      </c>
      <c r="E73" s="1" t="n">
        <v>46270</v>
      </c>
      <c r="F73" t="inlineStr">
        <is>
          <t>STOCKHOLMS LÄN</t>
        </is>
      </c>
      <c r="G73" t="inlineStr">
        <is>
          <t>NYKVARN</t>
        </is>
      </c>
      <c r="H73" t="inlineStr">
        <is>
          <t>Sveaskog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52963-2022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44875</v>
      </c>
      <c r="E74" s="1" t="n">
        <v>46270</v>
      </c>
      <c r="F74" t="inlineStr">
        <is>
          <t>STOCKHOLMS LÄN</t>
        </is>
      </c>
      <c r="G74" t="inlineStr">
        <is>
          <t>NYKVARN</t>
        </is>
      </c>
      <c r="H74" t="inlineStr">
        <is>
          <t>Allmännings- och besparingsskogar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34328-2026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46254</v>
      </c>
      <c r="E75" s="1" t="n">
        <v>46270</v>
      </c>
      <c r="F75" t="inlineStr">
        <is>
          <t>STOCKHOLMS LÄN</t>
        </is>
      </c>
      <c r="G75" t="inlineStr">
        <is>
          <t>NYKVARN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45309</v>
      </c>
      <c r="E76" s="1" t="n">
        <v>46270</v>
      </c>
      <c r="F76" t="inlineStr">
        <is>
          <t>STOCKHOLMS LÄN</t>
        </is>
      </c>
      <c r="G76" t="inlineStr">
        <is>
          <t>NYKVARN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23284-2025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45791</v>
      </c>
      <c r="E77" s="1" t="n">
        <v>46270</v>
      </c>
      <c r="F77" t="inlineStr">
        <is>
          <t>STOCKHOLMS LÄN</t>
        </is>
      </c>
      <c r="G77" t="inlineStr">
        <is>
          <t>NYKVARN</t>
        </is>
      </c>
      <c r="H77" t="inlineStr">
        <is>
          <t>Sveaskog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45792</v>
      </c>
      <c r="E78" s="1" t="n">
        <v>46270</v>
      </c>
      <c r="F78" t="inlineStr">
        <is>
          <t>STOCKHOLMS LÄN</t>
        </is>
      </c>
      <c r="G78" t="inlineStr">
        <is>
          <t>NYKVARN</t>
        </is>
      </c>
      <c r="H78" t="inlineStr">
        <is>
          <t>Sveaskog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31731-2026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46227</v>
      </c>
      <c r="E79" s="1" t="n">
        <v>46270</v>
      </c>
      <c r="F79" t="inlineStr">
        <is>
          <t>STOCKHOLMS LÄN</t>
        </is>
      </c>
      <c r="G79" t="inlineStr">
        <is>
          <t>NYKVARN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31740-2026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46227</v>
      </c>
      <c r="E80" s="1" t="n">
        <v>46270</v>
      </c>
      <c r="F80" t="inlineStr">
        <is>
          <t>STOCKHOLMS LÄN</t>
        </is>
      </c>
      <c r="G80" t="inlineStr">
        <is>
          <t>NYKVARN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31741-2026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46227</v>
      </c>
      <c r="E81" s="1" t="n">
        <v>46270</v>
      </c>
      <c r="F81" t="inlineStr">
        <is>
          <t>STOCKHOLMS LÄN</t>
        </is>
      </c>
      <c r="G81" t="inlineStr">
        <is>
          <t>NYKVARN</t>
        </is>
      </c>
      <c r="I81" t="n">
        <v>9.300000000000001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S 1582-2024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45427</v>
      </c>
      <c r="E82" s="1" t="n">
        <v>46270</v>
      </c>
      <c r="F82" t="inlineStr">
        <is>
          <t>STOCKHOLMS LÄN</t>
        </is>
      </c>
      <c r="G82" t="inlineStr">
        <is>
          <t>NYKVARN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>
      <c r="A83" t="inlineStr">
        <is>
          <t>S 710-2025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45720</v>
      </c>
      <c r="E83" s="1" t="n">
        <v>46270</v>
      </c>
      <c r="F83" t="inlineStr">
        <is>
          <t>STOCKHOLMS LÄN</t>
        </is>
      </c>
      <c r="G83" t="inlineStr">
        <is>
          <t>NYKVARN</t>
        </is>
      </c>
      <c r="H83" t="inlineStr">
        <is>
          <t>Sveaskog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2026-09-05T02:05:15Z</dcterms:created>
  <dcterms:modified xmlns:dcterms="http://purl.org/dc/terms/" xmlns:xsi="http://www.w3.org/2001/XMLSchema-instance" xsi:type="dcterms:W3CDTF">2026-09-05T02:05:15Z</dcterms:modified>
</cp:coreProperties>
</file>