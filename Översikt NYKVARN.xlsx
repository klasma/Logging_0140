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46226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46226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46226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46226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46226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46226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15912-2026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46226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12.9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Skogsödla</t>
        </is>
      </c>
      <c r="W10">
        <f>HYPERLINK("https://klasma.github.io/Logging_0140/artfynd/A 15912-2026 artfynd.xlsx", "A 15912-2026")</f>
        <v/>
      </c>
      <c r="X10">
        <f>HYPERLINK("https://klasma.github.io/Logging_0140/kartor/A 15912-2026 karta.png", "A 15912-2026")</f>
        <v/>
      </c>
      <c r="Y10">
        <f>HYPERLINK("https://klasma.github.io/Logging_0140/kartor_geotiff/A 15912-2026 georefererad karta.tif", "A 15912-2026")</f>
        <v/>
      </c>
      <c r="AA10">
        <f>HYPERLINK("https://klasma.github.io/Logging_0140/klagomål/A 15912-2026 FSC-klagomål.docx", "A 15912-2026")</f>
        <v/>
      </c>
      <c r="AB10">
        <f>HYPERLINK("https://klasma.github.io/Logging_0140/klagomålsmail/A 15912-2026 FSC-klagomål mail.docx", "A 15912-2026")</f>
        <v/>
      </c>
      <c r="AC10">
        <f>HYPERLINK("https://klasma.github.io/Logging_0140/tillsyn/A 15912-2026 tillsynsbegäran.docx", "A 15912-2026")</f>
        <v/>
      </c>
      <c r="AD10">
        <f>HYPERLINK("https://klasma.github.io/Logging_0140/tillsynsmail/A 15912-2026 tillsynsbegäran mail.docx", "A 15912-2026")</f>
        <v/>
      </c>
    </row>
    <row r="11" ht="15" customHeight="1">
      <c r="A11" t="inlineStr">
        <is>
          <t>A 17009-2026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46114</v>
      </c>
      <c r="E11" s="1" t="n">
        <v>46226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8.699999999999999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Mattlummer</t>
        </is>
      </c>
      <c r="W11">
        <f>HYPERLINK("https://klasma.github.io/Logging_0140/artfynd/A 17009-2026 artfynd.xlsx", "A 17009-2026")</f>
        <v/>
      </c>
      <c r="X11">
        <f>HYPERLINK("https://klasma.github.io/Logging_0140/kartor/A 17009-2026 karta.png", "A 17009-2026")</f>
        <v/>
      </c>
      <c r="Y11">
        <f>HYPERLINK("https://klasma.github.io/Logging_0140/kartor_geotiff/A 17009-2026 georefererad karta.tif", "A 17009-2026")</f>
        <v/>
      </c>
      <c r="AA11">
        <f>HYPERLINK("https://klasma.github.io/Logging_0140/klagomål/A 17009-2026 FSC-klagomål.docx", "A 17009-2026")</f>
        <v/>
      </c>
      <c r="AB11">
        <f>HYPERLINK("https://klasma.github.io/Logging_0140/klagomålsmail/A 17009-2026 FSC-klagomål mail.docx", "A 17009-2026")</f>
        <v/>
      </c>
      <c r="AC11">
        <f>HYPERLINK("https://klasma.github.io/Logging_0140/tillsyn/A 17009-2026 tillsynsbegäran.docx", "A 17009-2026")</f>
        <v/>
      </c>
      <c r="AD11">
        <f>HYPERLINK("https://klasma.github.io/Logging_0140/tillsynsmail/A 17009-2026 tillsynsbegäran mail.docx", "A 17009-2026")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46226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46226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46226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46226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46226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46226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46226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46226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46226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46226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46226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46226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46226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46226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46226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46226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46226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46226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46226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46226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46226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46226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46226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46226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46226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46226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51787-2021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44462</v>
      </c>
      <c r="E39" s="1" t="n">
        <v>46226</v>
      </c>
      <c r="F39" t="inlineStr">
        <is>
          <t>STOCKHOLMS LÄN</t>
        </is>
      </c>
      <c r="G39" t="inlineStr">
        <is>
          <t>NYKVARN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46226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38535-2025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45884</v>
      </c>
      <c r="E41" s="1" t="n">
        <v>46226</v>
      </c>
      <c r="F41" t="inlineStr">
        <is>
          <t>STOCKHOLMS LÄN</t>
        </is>
      </c>
      <c r="G41" t="inlineStr">
        <is>
          <t>NYKVARN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46226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32555-2023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45121</v>
      </c>
      <c r="E43" s="1" t="n">
        <v>46226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46226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46226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44947-2021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44438</v>
      </c>
      <c r="E46" s="1" t="n">
        <v>46226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11.3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46226</v>
      </c>
      <c r="F47" t="inlineStr">
        <is>
          <t>STOCKHOLMS LÄN</t>
        </is>
      </c>
      <c r="G47" t="inlineStr">
        <is>
          <t>NYKVARN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19217-2026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46226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44630</v>
      </c>
      <c r="E49" s="1" t="n">
        <v>46226</v>
      </c>
      <c r="F49" t="inlineStr">
        <is>
          <t>STOCKHOLMS LÄN</t>
        </is>
      </c>
      <c r="G49" t="inlineStr">
        <is>
          <t>NYKVARN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45989</v>
      </c>
      <c r="E50" s="1" t="n">
        <v>46226</v>
      </c>
      <c r="F50" t="inlineStr">
        <is>
          <t>STOCKHOLMS LÄN</t>
        </is>
      </c>
      <c r="G50" t="inlineStr">
        <is>
          <t>NYKVARN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46226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41681-2023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45173</v>
      </c>
      <c r="E52" s="1" t="n">
        <v>46226</v>
      </c>
      <c r="F52" t="inlineStr">
        <is>
          <t>STOCKHOLMS LÄN</t>
        </is>
      </c>
      <c r="G52" t="inlineStr">
        <is>
          <t>NYKVARN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46226</v>
      </c>
      <c r="F53" t="inlineStr">
        <is>
          <t>STOCKHOLMS LÄN</t>
        </is>
      </c>
      <c r="G53" t="inlineStr">
        <is>
          <t>NYKVARN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46226</v>
      </c>
      <c r="F54" t="inlineStr">
        <is>
          <t>STOCKHOLMS LÄN</t>
        </is>
      </c>
      <c r="G54" t="inlineStr">
        <is>
          <t>NYKVARN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46226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46226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17328-2025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45756</v>
      </c>
      <c r="E57" s="1" t="n">
        <v>46226</v>
      </c>
      <c r="F57" t="inlineStr">
        <is>
          <t>STOCKHOLMS LÄN</t>
        </is>
      </c>
      <c r="G57" t="inlineStr">
        <is>
          <t>NYKVARN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46226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46226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24796-2026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46171</v>
      </c>
      <c r="E60" s="1" t="n">
        <v>46226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46226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46226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46226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45874</v>
      </c>
      <c r="E64" s="1" t="n">
        <v>46226</v>
      </c>
      <c r="F64" t="inlineStr">
        <is>
          <t>STOCKHOLMS LÄN</t>
        </is>
      </c>
      <c r="G64" t="inlineStr">
        <is>
          <t>NYKVARN</t>
        </is>
      </c>
      <c r="I64" t="n">
        <v>10.6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63586-2023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45275</v>
      </c>
      <c r="E65" s="1" t="n">
        <v>46226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46226</v>
      </c>
      <c r="F66" t="inlineStr">
        <is>
          <t>STOCKHOLMS LÄN</t>
        </is>
      </c>
      <c r="G66" t="inlineStr">
        <is>
          <t>NYKVARN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46226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46226</v>
      </c>
      <c r="F68" t="inlineStr">
        <is>
          <t>STOCKHOLMS LÄN</t>
        </is>
      </c>
      <c r="G68" t="inlineStr">
        <is>
          <t>NYKVARN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46226</v>
      </c>
      <c r="F69" t="inlineStr">
        <is>
          <t>STOCKHOLMS LÄN</t>
        </is>
      </c>
      <c r="G69" t="inlineStr">
        <is>
          <t>NYKVARN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46226</v>
      </c>
      <c r="F70" t="inlineStr">
        <is>
          <t>STOCKHOLMS LÄN</t>
        </is>
      </c>
      <c r="G70" t="inlineStr">
        <is>
          <t>NYKVARN</t>
        </is>
      </c>
      <c r="H70" t="inlineStr">
        <is>
          <t>Allmännings- och besparingsskogar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46226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46226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46226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46226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63592-2023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45275</v>
      </c>
      <c r="E75" s="1" t="n">
        <v>46226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46226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46226</v>
      </c>
      <c r="F77" t="inlineStr">
        <is>
          <t>STOCKHOLMS LÄN</t>
        </is>
      </c>
      <c r="G77" t="inlineStr">
        <is>
          <t>NYKVARN</t>
        </is>
      </c>
      <c r="H77" t="inlineStr">
        <is>
          <t>Allmännings- och besparingsskogar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46226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46226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46226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46226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46226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2026-07-23T01:42:57Z</dcterms:created>
  <dcterms:modified xmlns:dcterms="http://purl.org/dc/terms/" xmlns:xsi="http://www.w3.org/2001/XMLSchema-instance" xsi:type="dcterms:W3CDTF">2026-07-23T01:42:57Z</dcterms:modified>
</cp:coreProperties>
</file>