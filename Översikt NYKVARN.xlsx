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46252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46252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46252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46252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46252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46252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46252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59342-2025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46252</v>
      </c>
      <c r="F9" t="inlineStr">
        <is>
          <t>STOCKHOLMS LÄN</t>
        </is>
      </c>
      <c r="G9" t="inlineStr">
        <is>
          <t>NYKVARN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HYPERLINK("https://klasma.github.io/Logging_0140/artfynd/A 59342-2025 artfynd.xlsx", "A 59342-2025")</f>
        <v/>
      </c>
      <c r="X9">
        <f>HYPERLINK("https://klasma.github.io/Logging_0140/kartor/A 59342-2025 karta.png", "A 59342-2025")</f>
        <v/>
      </c>
      <c r="Y9">
        <f>HYPERLINK("https://klasma.github.io/Logging_0140/kartor_geotiff/A 59342-2025 georefererad karta.tif", "A 59342-2025")</f>
        <v/>
      </c>
      <c r="AA9">
        <f>HYPERLINK("https://klasma.github.io/Logging_0140/klagomål/A 59342-2025 FSC-klagomål.docx", "A 59342-2025")</f>
        <v/>
      </c>
      <c r="AB9">
        <f>HYPERLINK("https://klasma.github.io/Logging_0140/klagomålsmail/A 59342-2025 FSC-klagomål mail.docx", "A 59342-2025")</f>
        <v/>
      </c>
      <c r="AC9">
        <f>HYPERLINK("https://klasma.github.io/Logging_0140/tillsyn/A 59342-2025 tillsynsbegäran.docx", "A 59342-2025")</f>
        <v/>
      </c>
      <c r="AD9">
        <f>HYPERLINK("https://klasma.github.io/Logging_0140/tillsynsmail/A 59342-2025 tillsynsbegäran mail.docx", "A 59342-2025")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46252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37597-2024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45541</v>
      </c>
      <c r="E11" s="1" t="n">
        <v>46252</v>
      </c>
      <c r="F11" t="inlineStr">
        <is>
          <t>STOCKHOLMS LÄN</t>
        </is>
      </c>
      <c r="G11" t="inlineStr">
        <is>
          <t>NYKVARN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Röd glada</t>
        </is>
      </c>
      <c r="W11">
        <f>HYPERLINK("https://klasma.github.io/Logging_0140/artfynd/A 37597-2024 artfynd.xlsx", "A 37597-2024")</f>
        <v/>
      </c>
      <c r="X11">
        <f>HYPERLINK("https://klasma.github.io/Logging_0140/kartor/A 37597-2024 karta.png", "A 37597-2024")</f>
        <v/>
      </c>
      <c r="Y11">
        <f>HYPERLINK("https://klasma.github.io/Logging_0140/kartor_geotiff/A 37597-2024 georefererad karta.tif", "A 37597-2024")</f>
        <v/>
      </c>
      <c r="AA11">
        <f>HYPERLINK("https://klasma.github.io/Logging_0140/klagomål/A 37597-2024 FSC-klagomål.docx", "A 37597-2024")</f>
        <v/>
      </c>
      <c r="AB11">
        <f>HYPERLINK("https://klasma.github.io/Logging_0140/klagomålsmail/A 37597-2024 FSC-klagomål mail.docx", "A 37597-2024")</f>
        <v/>
      </c>
      <c r="AC11">
        <f>HYPERLINK("https://klasma.github.io/Logging_0140/tillsyn/A 37597-2024 tillsynsbegäran.docx", "A 37597-2024")</f>
        <v/>
      </c>
      <c r="AD11">
        <f>HYPERLINK("https://klasma.github.io/Logging_0140/tillsynsmail/A 37597-2024 tillsynsbegäran mail.docx", "A 37597-2024")</f>
        <v/>
      </c>
      <c r="AE11">
        <f>HYPERLINK("https://klasma.github.io/Logging_0140/fåglar/A 37597-2024 prioriterade fågelarter.docx", "A 37597-2024")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46252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6876-2022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46252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HYPERLINK("https://klasma.github.io/Logging_0140/artfynd/A 6876-2022 artfynd.xlsx", "A 6876-2022")</f>
        <v/>
      </c>
      <c r="X13">
        <f>HYPERLINK("https://klasma.github.io/Logging_0140/kartor/A 6876-2022 karta.png", "A 6876-2022")</f>
        <v/>
      </c>
      <c r="Y13">
        <f>HYPERLINK("https://klasma.github.io/Logging_0140/kartor_geotiff/A 6876-2022 georefererad karta.tif", "A 6876-2022")</f>
        <v/>
      </c>
      <c r="AA13">
        <f>HYPERLINK("https://klasma.github.io/Logging_0140/klagomål/A 6876-2022 FSC-klagomål.docx", "A 6876-2022")</f>
        <v/>
      </c>
      <c r="AB13">
        <f>HYPERLINK("https://klasma.github.io/Logging_0140/klagomålsmail/A 6876-2022 FSC-klagomål mail.docx", "A 6876-2022")</f>
        <v/>
      </c>
      <c r="AC13">
        <f>HYPERLINK("https://klasma.github.io/Logging_0140/tillsyn/A 6876-2022 tillsynsbegäran.docx", "A 6876-2022")</f>
        <v/>
      </c>
      <c r="AD13">
        <f>HYPERLINK("https://klasma.github.io/Logging_0140/tillsynsmail/A 6876-2022 tillsynsbegäran mail.docx", "A 6876-2022")</f>
        <v/>
      </c>
    </row>
    <row r="14" ht="15" customHeight="1">
      <c r="A14" t="inlineStr">
        <is>
          <t>A 8285-2022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44610</v>
      </c>
      <c r="E14" s="1" t="n">
        <v>46252</v>
      </c>
      <c r="F14" t="inlineStr">
        <is>
          <t>STOCKHOLMS LÄN</t>
        </is>
      </c>
      <c r="G14" t="inlineStr">
        <is>
          <t>NYKVARN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HYPERLINK("https://klasma.github.io/Logging_0140/artfynd/A 8285-2022 artfynd.xlsx", "A 8285-2022")</f>
        <v/>
      </c>
      <c r="X14">
        <f>HYPERLINK("https://klasma.github.io/Logging_0140/kartor/A 8285-2022 karta.png", "A 8285-2022")</f>
        <v/>
      </c>
      <c r="Y14">
        <f>HYPERLINK("https://klasma.github.io/Logging_0140/kartor_geotiff/A 8285-2022 georefererad karta.tif", "A 8285-2022")</f>
        <v/>
      </c>
      <c r="AA14">
        <f>HYPERLINK("https://klasma.github.io/Logging_0140/klagomål/A 8285-2022 FSC-klagomål.docx", "A 8285-2022")</f>
        <v/>
      </c>
      <c r="AB14">
        <f>HYPERLINK("https://klasma.github.io/Logging_0140/klagomålsmail/A 8285-2022 FSC-klagomål mail.docx", "A 8285-2022")</f>
        <v/>
      </c>
      <c r="AC14">
        <f>HYPERLINK("https://klasma.github.io/Logging_0140/tillsyn/A 8285-2022 tillsynsbegäran.docx", "A 8285-2022")</f>
        <v/>
      </c>
      <c r="AD14">
        <f>HYPERLINK("https://klasma.github.io/Logging_0140/tillsynsmail/A 8285-2022 tillsynsbegäran mail.docx", "A 8285-2022")</f>
        <v/>
      </c>
    </row>
    <row r="15" ht="15" customHeight="1">
      <c r="A15" t="inlineStr">
        <is>
          <t>A 15912-2026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46107</v>
      </c>
      <c r="E15" s="1" t="n">
        <v>46252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12.9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Skogsödla</t>
        </is>
      </c>
      <c r="W15">
        <f>HYPERLINK("https://klasma.github.io/Logging_0140/artfynd/A 15912-2026 artfynd.xlsx", "A 15912-2026")</f>
        <v/>
      </c>
      <c r="X15">
        <f>HYPERLINK("https://klasma.github.io/Logging_0140/kartor/A 15912-2026 karta.png", "A 15912-2026")</f>
        <v/>
      </c>
      <c r="Y15">
        <f>HYPERLINK("https://klasma.github.io/Logging_0140/kartor_geotiff/A 15912-2026 georefererad karta.tif", "A 15912-2026")</f>
        <v/>
      </c>
      <c r="AA15">
        <f>HYPERLINK("https://klasma.github.io/Logging_0140/klagomål/A 15912-2026 FSC-klagomål.docx", "A 15912-2026")</f>
        <v/>
      </c>
      <c r="AB15">
        <f>HYPERLINK("https://klasma.github.io/Logging_0140/klagomålsmail/A 15912-2026 FSC-klagomål mail.docx", "A 15912-2026")</f>
        <v/>
      </c>
      <c r="AC15">
        <f>HYPERLINK("https://klasma.github.io/Logging_0140/tillsyn/A 15912-2026 tillsynsbegäran.docx", "A 15912-2026")</f>
        <v/>
      </c>
      <c r="AD15">
        <f>HYPERLINK("https://klasma.github.io/Logging_0140/tillsynsmail/A 15912-2026 tillsynsbegäran mail.docx", "A 15912-2026")</f>
        <v/>
      </c>
    </row>
    <row r="16" ht="15" customHeight="1">
      <c r="A16" t="inlineStr">
        <is>
          <t>A 17009-2026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46252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8.699999999999999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Mattlummer</t>
        </is>
      </c>
      <c r="W16">
        <f>HYPERLINK("https://klasma.github.io/Logging_0140/artfynd/A 17009-2026 artfynd.xlsx", "A 17009-2026")</f>
        <v/>
      </c>
      <c r="X16">
        <f>HYPERLINK("https://klasma.github.io/Logging_0140/kartor/A 17009-2026 karta.png", "A 17009-2026")</f>
        <v/>
      </c>
      <c r="Y16">
        <f>HYPERLINK("https://klasma.github.io/Logging_0140/kartor_geotiff/A 17009-2026 georefererad karta.tif", "A 17009-2026")</f>
        <v/>
      </c>
      <c r="AA16">
        <f>HYPERLINK("https://klasma.github.io/Logging_0140/klagomål/A 17009-2026 FSC-klagomål.docx", "A 17009-2026")</f>
        <v/>
      </c>
      <c r="AB16">
        <f>HYPERLINK("https://klasma.github.io/Logging_0140/klagomålsmail/A 17009-2026 FSC-klagomål mail.docx", "A 17009-2026")</f>
        <v/>
      </c>
      <c r="AC16">
        <f>HYPERLINK("https://klasma.github.io/Logging_0140/tillsyn/A 17009-2026 tillsynsbegäran.docx", "A 17009-2026")</f>
        <v/>
      </c>
      <c r="AD16">
        <f>HYPERLINK("https://klasma.github.io/Logging_0140/tillsynsmail/A 17009-2026 tillsynsbegäran mail.docx", "A 17009-2026")</f>
        <v/>
      </c>
    </row>
    <row r="17" ht="15" customHeight="1">
      <c r="A17" t="inlineStr">
        <is>
          <t>A 11393-2022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44630</v>
      </c>
      <c r="E17" s="1" t="n">
        <v>46252</v>
      </c>
      <c r="F17" t="inlineStr">
        <is>
          <t>STOCKHOLMS LÄN</t>
        </is>
      </c>
      <c r="G17" t="inlineStr">
        <is>
          <t>NYKVARN</t>
        </is>
      </c>
      <c r="I17" t="n">
        <v>3.8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Björksplintborre</t>
        </is>
      </c>
      <c r="W17">
        <f>HYPERLINK("https://klasma.github.io/Logging_0140/artfynd/A 11393-2022 artfynd.xlsx", "A 11393-2022")</f>
        <v/>
      </c>
      <c r="X17">
        <f>HYPERLINK("https://klasma.github.io/Logging_0140/kartor/A 11393-2022 karta.png", "A 11393-2022")</f>
        <v/>
      </c>
      <c r="Y17">
        <f>HYPERLINK("https://klasma.github.io/Logging_0140/kartor_geotiff/A 11393-2022 georefererad karta.tif", "A 11393-2022")</f>
        <v/>
      </c>
      <c r="AA17">
        <f>HYPERLINK("https://klasma.github.io/Logging_0140/klagomål/A 11393-2022 FSC-klagomål.docx", "A 11393-2022")</f>
        <v/>
      </c>
      <c r="AB17">
        <f>HYPERLINK("https://klasma.github.io/Logging_0140/klagomålsmail/A 11393-2022 FSC-klagomål mail.docx", "A 11393-2022")</f>
        <v/>
      </c>
      <c r="AC17">
        <f>HYPERLINK("https://klasma.github.io/Logging_0140/tillsyn/A 11393-2022 tillsynsbegäran.docx", "A 11393-2022")</f>
        <v/>
      </c>
      <c r="AD17">
        <f>HYPERLINK("https://klasma.github.io/Logging_0140/tillsynsmail/A 11393-2022 tillsynsbegäran mail.docx", "A 11393-2022")</f>
        <v/>
      </c>
    </row>
    <row r="18" ht="15" customHeight="1">
      <c r="A18" t="inlineStr">
        <is>
          <t>A 23279-2025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46252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HYPERLINK("https://klasma.github.io/Logging_0140/artfynd/A 23279-2025 artfynd.xlsx", "A 23279-2025")</f>
        <v/>
      </c>
      <c r="X18">
        <f>HYPERLINK("https://klasma.github.io/Logging_0140/kartor/A 23279-2025 karta.png", "A 23279-2025")</f>
        <v/>
      </c>
      <c r="Y18">
        <f>HYPERLINK("https://klasma.github.io/Logging_0140/kartor_geotiff/A 23279-2025 georefererad karta.tif", "A 23279-2025")</f>
        <v/>
      </c>
      <c r="AA18">
        <f>HYPERLINK("https://klasma.github.io/Logging_0140/klagomål/A 23279-2025 FSC-klagomål.docx", "A 23279-2025")</f>
        <v/>
      </c>
      <c r="AB18">
        <f>HYPERLINK("https://klasma.github.io/Logging_0140/klagomålsmail/A 23279-2025 FSC-klagomål mail.docx", "A 23279-2025")</f>
        <v/>
      </c>
      <c r="AC18">
        <f>HYPERLINK("https://klasma.github.io/Logging_0140/tillsyn/A 23279-2025 tillsynsbegäran.docx", "A 23279-2025")</f>
        <v/>
      </c>
      <c r="AD18">
        <f>HYPERLINK("https://klasma.github.io/Logging_0140/tillsynsmail/A 23279-2025 tillsynsbegäran mail.docx", "A 23279-2025")</f>
        <v/>
      </c>
    </row>
    <row r="19" ht="15" customHeight="1">
      <c r="A19" t="inlineStr">
        <is>
          <t>A 24790-2026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46252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Kopparödla</t>
        </is>
      </c>
      <c r="W19">
        <f>HYPERLINK("https://klasma.github.io/Logging_0140/artfynd/A 24790-2026 artfynd.xlsx", "A 24790-2026")</f>
        <v/>
      </c>
      <c r="X19">
        <f>HYPERLINK("https://klasma.github.io/Logging_0140/kartor/A 24790-2026 karta.png", "A 24790-2026")</f>
        <v/>
      </c>
      <c r="Y19">
        <f>HYPERLINK("https://klasma.github.io/Logging_0140/kartor_geotiff/A 24790-2026 georefererad karta.tif", "A 24790-2026")</f>
        <v/>
      </c>
      <c r="AA19">
        <f>HYPERLINK("https://klasma.github.io/Logging_0140/klagomål/A 24790-2026 FSC-klagomål.docx", "A 24790-2026")</f>
        <v/>
      </c>
      <c r="AB19">
        <f>HYPERLINK("https://klasma.github.io/Logging_0140/klagomålsmail/A 24790-2026 FSC-klagomål mail.docx", "A 24790-2026")</f>
        <v/>
      </c>
      <c r="AC19">
        <f>HYPERLINK("https://klasma.github.io/Logging_0140/tillsyn/A 24790-2026 tillsynsbegäran.docx", "A 24790-2026")</f>
        <v/>
      </c>
      <c r="AD19">
        <f>HYPERLINK("https://klasma.github.io/Logging_0140/tillsynsmail/A 24790-2026 tillsynsbegäran mail.docx", "A 24790-2026")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46252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46252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46252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46252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46252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46252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46252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46252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46252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46252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46252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11430-2022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44630</v>
      </c>
      <c r="E31" s="1" t="n">
        <v>46252</v>
      </c>
      <c r="F31" t="inlineStr">
        <is>
          <t>STOCKHOLMS LÄN</t>
        </is>
      </c>
      <c r="G31" t="inlineStr">
        <is>
          <t>NYKVARN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46252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46252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46252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38535-2025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45884</v>
      </c>
      <c r="E35" s="1" t="n">
        <v>46252</v>
      </c>
      <c r="F35" t="inlineStr">
        <is>
          <t>STOCKHOLMS LÄN</t>
        </is>
      </c>
      <c r="G35" t="inlineStr">
        <is>
          <t>NYKVARN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46252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46252</v>
      </c>
      <c r="F37" t="inlineStr">
        <is>
          <t>STOCKHOLMS LÄN</t>
        </is>
      </c>
      <c r="G37" t="inlineStr">
        <is>
          <t>NYKVARN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45169</v>
      </c>
      <c r="E38" s="1" t="n">
        <v>46252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41681-2023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45173</v>
      </c>
      <c r="E39" s="1" t="n">
        <v>46252</v>
      </c>
      <c r="F39" t="inlineStr">
        <is>
          <t>STOCKHOLMS LÄN</t>
        </is>
      </c>
      <c r="G39" t="inlineStr">
        <is>
          <t>NYKVARN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24283-2022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44725</v>
      </c>
      <c r="E40" s="1" t="n">
        <v>46252</v>
      </c>
      <c r="F40" t="inlineStr">
        <is>
          <t>STOCKHOLMS LÄN</t>
        </is>
      </c>
      <c r="G40" t="inlineStr">
        <is>
          <t>NYKVARN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8096-2023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46252</v>
      </c>
      <c r="F41" t="inlineStr">
        <is>
          <t>STOCKHOLMS LÄN</t>
        </is>
      </c>
      <c r="G41" t="inlineStr">
        <is>
          <t>NYKVARN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44969-2022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44841</v>
      </c>
      <c r="E42" s="1" t="n">
        <v>46252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45309</v>
      </c>
      <c r="E43" s="1" t="n">
        <v>46252</v>
      </c>
      <c r="F43" t="inlineStr">
        <is>
          <t>STOCKHOLMS LÄN</t>
        </is>
      </c>
      <c r="G43" t="inlineStr">
        <is>
          <t>NYKVARN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46252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8.4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46252</v>
      </c>
      <c r="F45" t="inlineStr">
        <is>
          <t>STOCKHOLMS LÄN</t>
        </is>
      </c>
      <c r="G45" t="inlineStr">
        <is>
          <t>NYKVARN</t>
        </is>
      </c>
      <c r="H45" t="inlineStr">
        <is>
          <t>Kommuner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17328-2025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45756</v>
      </c>
      <c r="E46" s="1" t="n">
        <v>46252</v>
      </c>
      <c r="F46" t="inlineStr">
        <is>
          <t>STOCKHOLMS LÄN</t>
        </is>
      </c>
      <c r="G46" t="inlineStr">
        <is>
          <t>NYKVARN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51787-2021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46252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56639-2023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45243</v>
      </c>
      <c r="E48" s="1" t="n">
        <v>46252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45274</v>
      </c>
      <c r="E49" s="1" t="n">
        <v>46252</v>
      </c>
      <c r="F49" t="inlineStr">
        <is>
          <t>STOCKHOLMS LÄN</t>
        </is>
      </c>
      <c r="G49" t="inlineStr">
        <is>
          <t>NYKVARN</t>
        </is>
      </c>
      <c r="H49" t="inlineStr">
        <is>
          <t>Kommuner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46252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45989</v>
      </c>
      <c r="E51" s="1" t="n">
        <v>46252</v>
      </c>
      <c r="F51" t="inlineStr">
        <is>
          <t>STOCKHOLMS LÄN</t>
        </is>
      </c>
      <c r="G51" t="inlineStr">
        <is>
          <t>NYKVARN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19487-2023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45050</v>
      </c>
      <c r="E52" s="1" t="n">
        <v>46252</v>
      </c>
      <c r="F52" t="inlineStr">
        <is>
          <t>STOCKHOLMS LÄN</t>
        </is>
      </c>
      <c r="G52" t="inlineStr">
        <is>
          <t>NYKVARN</t>
        </is>
      </c>
      <c r="H52" t="inlineStr">
        <is>
          <t>Sveaskog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6857-2022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44602</v>
      </c>
      <c r="E53" s="1" t="n">
        <v>46252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45044</v>
      </c>
      <c r="E54" s="1" t="n">
        <v>46252</v>
      </c>
      <c r="F54" t="inlineStr">
        <is>
          <t>STOCKHOLMS LÄN</t>
        </is>
      </c>
      <c r="G54" t="inlineStr">
        <is>
          <t>NYKVARN</t>
        </is>
      </c>
      <c r="H54" t="inlineStr">
        <is>
          <t>Kyrkan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50020-2023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45215</v>
      </c>
      <c r="E55" s="1" t="n">
        <v>46252</v>
      </c>
      <c r="F55" t="inlineStr">
        <is>
          <t>STOCKHOLMS LÄN</t>
        </is>
      </c>
      <c r="G55" t="inlineStr">
        <is>
          <t>NYKVARN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46252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32555-2023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45121</v>
      </c>
      <c r="E57" s="1" t="n">
        <v>46252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44910</v>
      </c>
      <c r="E58" s="1" t="n">
        <v>46252</v>
      </c>
      <c r="F58" t="inlineStr">
        <is>
          <t>STOCKHOLMS LÄN</t>
        </is>
      </c>
      <c r="G58" t="inlineStr">
        <is>
          <t>NYKVARN</t>
        </is>
      </c>
      <c r="H58" t="inlineStr">
        <is>
          <t>Kyrkan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46252</v>
      </c>
      <c r="F59" t="inlineStr">
        <is>
          <t>STOCKHOLMS LÄN</t>
        </is>
      </c>
      <c r="G59" t="inlineStr">
        <is>
          <t>NYKVARN</t>
        </is>
      </c>
      <c r="I59" t="n">
        <v>10.6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46252</v>
      </c>
      <c r="F60" t="inlineStr">
        <is>
          <t>STOCKHOLMS LÄN</t>
        </is>
      </c>
      <c r="G60" t="inlineStr">
        <is>
          <t>NYKVARN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44730</v>
      </c>
      <c r="E61" s="1" t="n">
        <v>46252</v>
      </c>
      <c r="F61" t="inlineStr">
        <is>
          <t>STOCKHOLMS LÄN</t>
        </is>
      </c>
      <c r="G61" t="inlineStr">
        <is>
          <t>NYKVARN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71540-2021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46252</v>
      </c>
      <c r="F62" t="inlineStr">
        <is>
          <t>STOCKHOLMS LÄN</t>
        </is>
      </c>
      <c r="G62" t="inlineStr">
        <is>
          <t>NYKVARN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46252</v>
      </c>
      <c r="F63" t="inlineStr">
        <is>
          <t>STOCKHOLMS LÄN</t>
        </is>
      </c>
      <c r="G63" t="inlineStr">
        <is>
          <t>NYKVARN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22529-2022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46252</v>
      </c>
      <c r="F64" t="inlineStr">
        <is>
          <t>STOCKHOLMS LÄN</t>
        </is>
      </c>
      <c r="G64" t="inlineStr">
        <is>
          <t>NYKVARN</t>
        </is>
      </c>
      <c r="H64" t="inlineStr">
        <is>
          <t>Allmännings- och besparingsskogar</t>
        </is>
      </c>
      <c r="I64" t="n">
        <v>8.4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46252</v>
      </c>
      <c r="F65" t="inlineStr">
        <is>
          <t>STOCKHOLMS LÄN</t>
        </is>
      </c>
      <c r="G65" t="inlineStr">
        <is>
          <t>NYKVARN</t>
        </is>
      </c>
      <c r="H65" t="inlineStr">
        <is>
          <t>Allmännings- och besparingsskogar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44438</v>
      </c>
      <c r="E66" s="1" t="n">
        <v>46252</v>
      </c>
      <c r="F66" t="inlineStr">
        <is>
          <t>STOCKHOLMS LÄN</t>
        </is>
      </c>
      <c r="G66" t="inlineStr">
        <is>
          <t>NYKVARN</t>
        </is>
      </c>
      <c r="H66" t="inlineStr">
        <is>
          <t>Allmännings- och besparingsskogar</t>
        </is>
      </c>
      <c r="I66" t="n">
        <v>11.3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31740-2026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46252</v>
      </c>
      <c r="F67" t="inlineStr">
        <is>
          <t>STOCKHOLMS LÄN</t>
        </is>
      </c>
      <c r="G67" t="inlineStr">
        <is>
          <t>NYKVARN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46252</v>
      </c>
      <c r="F68" t="inlineStr">
        <is>
          <t>STOCKHOLMS LÄN</t>
        </is>
      </c>
      <c r="G68" t="inlineStr">
        <is>
          <t>NYKVARN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31731-2026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46252</v>
      </c>
      <c r="F69" t="inlineStr">
        <is>
          <t>STOCKHOLMS LÄN</t>
        </is>
      </c>
      <c r="G69" t="inlineStr">
        <is>
          <t>NYKVARN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19903-2023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45054</v>
      </c>
      <c r="E70" s="1" t="n">
        <v>46252</v>
      </c>
      <c r="F70" t="inlineStr">
        <is>
          <t>STOCKHOLMS LÄN</t>
        </is>
      </c>
      <c r="G70" t="inlineStr">
        <is>
          <t>NYKVARN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46252</v>
      </c>
      <c r="F71" t="inlineStr">
        <is>
          <t>STOCKHOLMS LÄN</t>
        </is>
      </c>
      <c r="G71" t="inlineStr">
        <is>
          <t>NYKVARN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46252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46128</v>
      </c>
      <c r="E73" s="1" t="n">
        <v>46252</v>
      </c>
      <c r="F73" t="inlineStr">
        <is>
          <t>STOCKHOLMS LÄN</t>
        </is>
      </c>
      <c r="G73" t="inlineStr">
        <is>
          <t>NYKVARN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46252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19217-2026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46252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63592-2023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45275</v>
      </c>
      <c r="E76" s="1" t="n">
        <v>46252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46252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44875</v>
      </c>
      <c r="E78" s="1" t="n">
        <v>46252</v>
      </c>
      <c r="F78" t="inlineStr">
        <is>
          <t>STOCKHOLMS LÄN</t>
        </is>
      </c>
      <c r="G78" t="inlineStr">
        <is>
          <t>NYKVARN</t>
        </is>
      </c>
      <c r="H78" t="inlineStr">
        <is>
          <t>Allmännings- och besparingsskogar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45309</v>
      </c>
      <c r="E79" s="1" t="n">
        <v>46252</v>
      </c>
      <c r="F79" t="inlineStr">
        <is>
          <t>STOCKHOLMS LÄN</t>
        </is>
      </c>
      <c r="G79" t="inlineStr">
        <is>
          <t>NYKVARN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46252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45792</v>
      </c>
      <c r="E81" s="1" t="n">
        <v>46252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24796-2026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46171</v>
      </c>
      <c r="E82" s="1" t="n">
        <v>46252</v>
      </c>
      <c r="F82" t="inlineStr">
        <is>
          <t>STOCKHOLMS LÄN</t>
        </is>
      </c>
      <c r="G82" t="inlineStr">
        <is>
          <t>NYKVARN</t>
        </is>
      </c>
      <c r="H82" t="inlineStr">
        <is>
          <t>Kommuner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46252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46252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2026-08-18T01:47:25Z</dcterms:created>
  <dcterms:modified xmlns:dcterms="http://purl.org/dc/terms/" xmlns:xsi="http://www.w3.org/2001/XMLSchema-instance" xsi:type="dcterms:W3CDTF">2026-08-18T01:47:25Z</dcterms:modified>
</cp:coreProperties>
</file>