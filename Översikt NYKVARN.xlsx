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46202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25754-2023</t>
        </is>
      </c>
      <c r="B6" s="1" t="n">
        <v>45084</v>
      </c>
      <c r="C6" s="1" t="n">
        <v>46202</v>
      </c>
      <c r="D6" t="inlineStr">
        <is>
          <t>STOCKHOLMS LÄN</t>
        </is>
      </c>
      <c r="E6" t="inlineStr">
        <is>
          <t>NYKVARN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HYPERLINK("https://klasma.github.io/Logging_0140/artfynd/A 25754-2023 artfynd.xlsx", "A 25754-2023")</f>
        <v/>
      </c>
      <c r="T6">
        <f>HYPERLINK("https://klasma.github.io/Logging_0140/kartor/A 25754-2023 karta.png", "A 25754-2023")</f>
        <v/>
      </c>
      <c r="V6">
        <f>HYPERLINK("https://klasma.github.io/Logging_0140/klagomål/A 25754-2023 FSC-klagomål.docx", "A 25754-2023")</f>
        <v/>
      </c>
      <c r="W6">
        <f>HYPERLINK("https://klasma.github.io/Logging_0140/klagomålsmail/A 25754-2023 FSC-klagomål mail.docx", "A 25754-2023")</f>
        <v/>
      </c>
      <c r="X6">
        <f>HYPERLINK("https://klasma.github.io/Logging_0140/tillsyn/A 25754-2023 tillsynsbegäran.docx", "A 25754-2023")</f>
        <v/>
      </c>
      <c r="Y6">
        <f>HYPERLINK("https://klasma.github.io/Logging_0140/tillsynsmail/A 25754-2023 tillsynsbegäran mail.docx", "A 25754-2023")</f>
        <v/>
      </c>
      <c r="Z6">
        <f>HYPERLINK("https://klasma.github.io/Logging_0140/fåglar/A 25754-2023 prioriterade fågelarter.docx", "A 25754-2023")</f>
        <v/>
      </c>
    </row>
    <row r="7" ht="15" customHeight="1">
      <c r="A7" t="inlineStr">
        <is>
          <t>A 11388-2024</t>
        </is>
      </c>
      <c r="B7" s="1" t="n">
        <v>45372</v>
      </c>
      <c r="C7" s="1" t="n">
        <v>46202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46202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46202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37597-2024</t>
        </is>
      </c>
      <c r="B10" s="1" t="n">
        <v>45541</v>
      </c>
      <c r="C10" s="1" t="n">
        <v>46202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s="1" t="n">
        <v>45167</v>
      </c>
      <c r="C11" s="1" t="n">
        <v>46202</v>
      </c>
      <c r="D11" t="inlineStr">
        <is>
          <t>STOCKHOLMS LÄN</t>
        </is>
      </c>
      <c r="E11" t="inlineStr">
        <is>
          <t>NYKVARN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39539-2023 artfynd.xlsx", "A 39539-2023")</f>
        <v/>
      </c>
      <c r="T11">
        <f>HYPERLINK("https://klasma.github.io/Logging_0140/kartor/A 39539-2023 karta.png", "A 39539-2023")</f>
        <v/>
      </c>
      <c r="V11">
        <f>HYPERLINK("https://klasma.github.io/Logging_0140/klagomål/A 39539-2023 FSC-klagomål.docx", "A 39539-2023")</f>
        <v/>
      </c>
      <c r="W11">
        <f>HYPERLINK("https://klasma.github.io/Logging_0140/klagomålsmail/A 39539-2023 FSC-klagomål mail.docx", "A 39539-2023")</f>
        <v/>
      </c>
      <c r="X11">
        <f>HYPERLINK("https://klasma.github.io/Logging_0140/tillsyn/A 39539-2023 tillsynsbegäran.docx", "A 39539-2023")</f>
        <v/>
      </c>
      <c r="Y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s="1" t="n">
        <v>44602</v>
      </c>
      <c r="C12" s="1" t="n">
        <v>46202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HYPERLINK("https://klasma.github.io/Logging_0140/artfynd/A 6876-2022 artfynd.xlsx", "A 6876-2022")</f>
        <v/>
      </c>
      <c r="T12">
        <f>HYPERLINK("https://klasma.github.io/Logging_0140/kartor/A 6876-2022 karta.png", "A 6876-2022")</f>
        <v/>
      </c>
      <c r="V12">
        <f>HYPERLINK("https://klasma.github.io/Logging_0140/klagomål/A 6876-2022 FSC-klagomål.docx", "A 6876-2022")</f>
        <v/>
      </c>
      <c r="W12">
        <f>HYPERLINK("https://klasma.github.io/Logging_0140/klagomålsmail/A 6876-2022 FSC-klagomål mail.docx", "A 6876-2022")</f>
        <v/>
      </c>
      <c r="X12">
        <f>HYPERLINK("https://klasma.github.io/Logging_0140/tillsyn/A 6876-2022 tillsynsbegäran.docx", "A 6876-2022")</f>
        <v/>
      </c>
      <c r="Y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46202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46202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59342-2025</t>
        </is>
      </c>
      <c r="B15" s="1" t="n">
        <v>45989</v>
      </c>
      <c r="C15" s="1" t="n">
        <v>46202</v>
      </c>
      <c r="D15" t="inlineStr">
        <is>
          <t>STOCKHOLMS LÄN</t>
        </is>
      </c>
      <c r="E15" t="inlineStr">
        <is>
          <t>NYKVARN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Kösa</t>
        </is>
      </c>
      <c r="S15">
        <f>HYPERLINK("https://klasma.github.io/Logging_0140/artfynd/A 59342-2025 artfynd.xlsx", "A 59342-2025")</f>
        <v/>
      </c>
      <c r="T15">
        <f>HYPERLINK("https://klasma.github.io/Logging_0140/kartor/A 59342-2025 karta.png", "A 59342-2025")</f>
        <v/>
      </c>
      <c r="V15">
        <f>HYPERLINK("https://klasma.github.io/Logging_0140/klagomål/A 59342-2025 FSC-klagomål.docx", "A 59342-2025")</f>
        <v/>
      </c>
      <c r="W15">
        <f>HYPERLINK("https://klasma.github.io/Logging_0140/klagomålsmail/A 59342-2025 FSC-klagomål mail.docx", "A 59342-2025")</f>
        <v/>
      </c>
      <c r="X15">
        <f>HYPERLINK("https://klasma.github.io/Logging_0140/tillsyn/A 59342-2025 tillsynsbegäran.docx", "A 59342-2025")</f>
        <v/>
      </c>
      <c r="Y15">
        <f>HYPERLINK("https://klasma.github.io/Logging_0140/tillsynsmail/A 59342-2025 tillsynsbegäran mail.docx", "A 59342-2025")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46202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46202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46202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46202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46202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46202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19608-2022</t>
        </is>
      </c>
      <c r="B23" s="1" t="n">
        <v>44693</v>
      </c>
      <c r="C23" s="1" t="n">
        <v>46202</v>
      </c>
      <c r="D23" t="inlineStr">
        <is>
          <t>STOCKHOLMS LÄN</t>
        </is>
      </c>
      <c r="E23" t="inlineStr">
        <is>
          <t>NYKVARN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24656-2022</t>
        </is>
      </c>
      <c r="B24" s="1" t="n">
        <v>44726</v>
      </c>
      <c r="C24" s="1" t="n">
        <v>46202</v>
      </c>
      <c r="D24" t="inlineStr">
        <is>
          <t>STOCKHOLMS LÄN</t>
        </is>
      </c>
      <c r="E24" t="inlineStr">
        <is>
          <t>NYKVARN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44531-2022</t>
        </is>
      </c>
      <c r="B25" s="1" t="n">
        <v>44840</v>
      </c>
      <c r="C25" s="1" t="n">
        <v>46202</v>
      </c>
      <c r="D25" t="inlineStr">
        <is>
          <t>STOCKHOLMS LÄN</t>
        </is>
      </c>
      <c r="E25" t="inlineStr">
        <is>
          <t>NYKVARN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43922-2021</t>
        </is>
      </c>
      <c r="B26" s="1" t="n">
        <v>44434</v>
      </c>
      <c r="C26" s="1" t="n">
        <v>46202</v>
      </c>
      <c r="D26" t="inlineStr">
        <is>
          <t>STOCKHOLMS LÄN</t>
        </is>
      </c>
      <c r="E26" t="inlineStr">
        <is>
          <t>NYKVARN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46202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46202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46202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8295-2022</t>
        </is>
      </c>
      <c r="B30" s="1" t="n">
        <v>44610</v>
      </c>
      <c r="C30" s="1" t="n">
        <v>46202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</v>
      </c>
      <c r="C31" s="1" t="n">
        <v>46202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46202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60324-2022</t>
        </is>
      </c>
      <c r="B33" s="1" t="n">
        <v>44910</v>
      </c>
      <c r="C33" s="1" t="n">
        <v>46202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63400-2023</t>
        </is>
      </c>
      <c r="B34" s="1" t="n">
        <v>45274</v>
      </c>
      <c r="C34" s="1" t="n">
        <v>46202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43230-2022</t>
        </is>
      </c>
      <c r="B35" s="1" t="n">
        <v>44834</v>
      </c>
      <c r="C35" s="1" t="n">
        <v>46202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44947-2021</t>
        </is>
      </c>
      <c r="B36" s="1" t="n">
        <v>44438</v>
      </c>
      <c r="C36" s="1" t="n">
        <v>46202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11996-2022</t>
        </is>
      </c>
      <c r="B37" s="1" t="n">
        <v>44635</v>
      </c>
      <c r="C37" s="1" t="n">
        <v>46202</v>
      </c>
      <c r="D37" t="inlineStr">
        <is>
          <t>STOCKHOLMS LÄN</t>
        </is>
      </c>
      <c r="E37" t="inlineStr">
        <is>
          <t>NYKVARN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6854-2022</t>
        </is>
      </c>
      <c r="B38" s="1" t="n">
        <v>44602</v>
      </c>
      <c r="C38" s="1" t="n">
        <v>46202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19487-2023</t>
        </is>
      </c>
      <c r="B39" s="1" t="n">
        <v>45050</v>
      </c>
      <c r="C39" s="1" t="n">
        <v>46202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44969-2022</t>
        </is>
      </c>
      <c r="B40" s="1" t="n">
        <v>44841</v>
      </c>
      <c r="C40" s="1" t="n">
        <v>46202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</v>
      </c>
      <c r="C41" s="1" t="n">
        <v>46202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18793-2023</t>
        </is>
      </c>
      <c r="B42" s="1" t="n">
        <v>45044</v>
      </c>
      <c r="C42" s="1" t="n">
        <v>46202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50020-2023</t>
        </is>
      </c>
      <c r="B43" s="1" t="n">
        <v>45215</v>
      </c>
      <c r="C43" s="1" t="n">
        <v>46202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11430-2022</t>
        </is>
      </c>
      <c r="B44" s="1" t="n">
        <v>44630</v>
      </c>
      <c r="C44" s="1" t="n">
        <v>46202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46202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50031-2023</t>
        </is>
      </c>
      <c r="B46" s="1" t="n">
        <v>45215</v>
      </c>
      <c r="C46" s="1" t="n">
        <v>46202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25278-2022</t>
        </is>
      </c>
      <c r="B47" s="1" t="n">
        <v>44730</v>
      </c>
      <c r="C47" s="1" t="n">
        <v>46202</v>
      </c>
      <c r="D47" t="inlineStr">
        <is>
          <t>STOCKHOLMS LÄN</t>
        </is>
      </c>
      <c r="E47" t="inlineStr">
        <is>
          <t>NYKVARN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46202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71540-2021</t>
        </is>
      </c>
      <c r="B49" s="1" t="n">
        <v>44540</v>
      </c>
      <c r="C49" s="1" t="n">
        <v>46202</v>
      </c>
      <c r="D49" t="inlineStr">
        <is>
          <t>STOCKHOLMS LÄN</t>
        </is>
      </c>
      <c r="E49" t="inlineStr">
        <is>
          <t>NYKVARN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46202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7926-2023</t>
        </is>
      </c>
      <c r="B51" s="1" t="n">
        <v>44973</v>
      </c>
      <c r="C51" s="1" t="n">
        <v>46202</v>
      </c>
      <c r="D51" t="inlineStr">
        <is>
          <t>STOCKHOLMS LÄN</t>
        </is>
      </c>
      <c r="E51" t="inlineStr">
        <is>
          <t>NYKVARN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</v>
      </c>
      <c r="C52" s="1" t="n">
        <v>46202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46202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46202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46202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</v>
      </c>
      <c r="C56" s="1" t="n">
        <v>46202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46202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</v>
      </c>
      <c r="C58" s="1" t="n">
        <v>46202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</v>
      </c>
      <c r="C59" s="1" t="n">
        <v>46202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46202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52963-2022</t>
        </is>
      </c>
      <c r="B61" s="1" t="n">
        <v>44875</v>
      </c>
      <c r="C61" s="1" t="n">
        <v>46202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46202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</v>
      </c>
      <c r="C63" s="1" t="n">
        <v>46202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</v>
      </c>
      <c r="C64" s="1" t="n">
        <v>46202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46202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</v>
      </c>
      <c r="C66" s="1" t="n">
        <v>46202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38535-2025</t>
        </is>
      </c>
      <c r="B67" s="1" t="n">
        <v>45884</v>
      </c>
      <c r="C67" s="1" t="n">
        <v>46202</v>
      </c>
      <c r="D67" t="inlineStr">
        <is>
          <t>STOCKHOLMS LÄN</t>
        </is>
      </c>
      <c r="E67" t="inlineStr">
        <is>
          <t>NYKVARN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2177-2024</t>
        </is>
      </c>
      <c r="B68" s="1" t="n">
        <v>45309</v>
      </c>
      <c r="C68" s="1" t="n">
        <v>46202</v>
      </c>
      <c r="D68" t="inlineStr">
        <is>
          <t>STOCKHOLMS LÄN</t>
        </is>
      </c>
      <c r="E68" t="inlineStr">
        <is>
          <t>NYKVARN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</v>
      </c>
      <c r="C69" s="1" t="n">
        <v>46202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23284-2025</t>
        </is>
      </c>
      <c r="B70" s="1" t="n">
        <v>45791</v>
      </c>
      <c r="C70" s="1" t="n">
        <v>46202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23655-2025</t>
        </is>
      </c>
      <c r="B71" s="1" t="n">
        <v>45792</v>
      </c>
      <c r="C71" s="1" t="n">
        <v>46202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36986-2025</t>
        </is>
      </c>
      <c r="B72" s="1" t="n">
        <v>45874</v>
      </c>
      <c r="C72" s="1" t="n">
        <v>46202</v>
      </c>
      <c r="D72" t="inlineStr">
        <is>
          <t>STOCKHOLMS LÄN</t>
        </is>
      </c>
      <c r="E72" t="inlineStr">
        <is>
          <t>NYKVARN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</v>
      </c>
      <c r="C73" s="1" t="n">
        <v>46202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11045-2026</t>
        </is>
      </c>
      <c r="B74" s="1" t="n">
        <v>46079</v>
      </c>
      <c r="C74" s="1" t="n">
        <v>46202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18780-2026</t>
        </is>
      </c>
      <c r="B75" s="1" t="n">
        <v>46128</v>
      </c>
      <c r="C75" s="1" t="n">
        <v>46202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24796-2026</t>
        </is>
      </c>
      <c r="B76" s="1" t="n">
        <v>46171</v>
      </c>
      <c r="C76" s="1" t="n">
        <v>46202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19217-2026</t>
        </is>
      </c>
      <c r="B77" s="1" t="n">
        <v>46132</v>
      </c>
      <c r="C77" s="1" t="n">
        <v>46202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2026-06-29T00:58:32Z</dcterms:created>
  <dcterms:modified xmlns:dcterms="http://purl.org/dc/terms/" xmlns:xsi="http://www.w3.org/2001/XMLSchema-instance" xsi:type="dcterms:W3CDTF">2026-06-29T00:58:32Z</dcterms:modified>
</cp:coreProperties>
</file>