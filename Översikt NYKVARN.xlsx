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46059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46059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46059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46059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46059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2423-2026</t>
        </is>
      </c>
      <c r="B7" s="1" t="n">
        <v>46034</v>
      </c>
      <c r="C7" s="1" t="n">
        <v>46059</v>
      </c>
      <c r="D7" t="inlineStr">
        <is>
          <t>STOCKHOLMS LÄN</t>
        </is>
      </c>
      <c r="E7" t="inlineStr">
        <is>
          <t>NYKVARN</t>
        </is>
      </c>
      <c r="G7" t="n">
        <v>11.8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HYPERLINK("https://klasma.github.io/Logging_0140/artfynd/A 2423-2026 artfynd.xlsx", "A 2423-2026")</f>
        <v/>
      </c>
      <c r="T7">
        <f>HYPERLINK("https://klasma.github.io/Logging_0140/kartor/A 2423-2026 karta.png", "A 2423-2026")</f>
        <v/>
      </c>
      <c r="U7">
        <f>HYPERLINK("https://klasma.github.io/Logging_0140/knärot/A 2423-2026 karta knärot.png", "A 2423-2026")</f>
        <v/>
      </c>
      <c r="V7">
        <f>HYPERLINK("https://klasma.github.io/Logging_0140/klagomål/A 2423-2026 FSC-klagomål.docx", "A 2423-2026")</f>
        <v/>
      </c>
      <c r="W7">
        <f>HYPERLINK("https://klasma.github.io/Logging_0140/klagomålsmail/A 2423-2026 FSC-klagomål mail.docx", "A 2423-2026")</f>
        <v/>
      </c>
      <c r="X7">
        <f>HYPERLINK("https://klasma.github.io/Logging_0140/tillsyn/A 2423-2026 tillsynsbegäran.docx", "A 2423-2026")</f>
        <v/>
      </c>
      <c r="Y7">
        <f>HYPERLINK("https://klasma.github.io/Logging_0140/tillsynsmail/A 2423-2026 tillsynsbegäran mail.docx", "A 2423-2026")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46059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46059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46059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46059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46059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46059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46059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46059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46059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46059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46059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46059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46059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46059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46059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46059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46059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46059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46059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46059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46059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38535-2025</t>
        </is>
      </c>
      <c r="B29" s="1" t="n">
        <v>45884.41943287037</v>
      </c>
      <c r="C29" s="1" t="n">
        <v>46059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22531-2022</t>
        </is>
      </c>
      <c r="B30" s="1" t="n">
        <v>44713</v>
      </c>
      <c r="C30" s="1" t="n">
        <v>46059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50031-2023</t>
        </is>
      </c>
      <c r="B31" s="1" t="n">
        <v>45215.48474537037</v>
      </c>
      <c r="C31" s="1" t="n">
        <v>46059</v>
      </c>
      <c r="D31" t="inlineStr">
        <is>
          <t>STOCKHOLMS LÄN</t>
        </is>
      </c>
      <c r="E31" t="inlineStr">
        <is>
          <t>NYKVARN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19487-2023</t>
        </is>
      </c>
      <c r="B32" s="1" t="n">
        <v>45050</v>
      </c>
      <c r="C32" s="1" t="n">
        <v>46059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46059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25754-2023</t>
        </is>
      </c>
      <c r="B34" s="1" t="n">
        <v>45084</v>
      </c>
      <c r="C34" s="1" t="n">
        <v>46059</v>
      </c>
      <c r="D34" t="inlineStr">
        <is>
          <t>STOCKHOLMS LÄN</t>
        </is>
      </c>
      <c r="E34" t="inlineStr">
        <is>
          <t>NYKVARN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44947-2021</t>
        </is>
      </c>
      <c r="B35" s="1" t="n">
        <v>44438.69939814815</v>
      </c>
      <c r="C35" s="1" t="n">
        <v>46059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43230-2022</t>
        </is>
      </c>
      <c r="B36" s="1" t="n">
        <v>44834</v>
      </c>
      <c r="C36" s="1" t="n">
        <v>46059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54583-2023</t>
        </is>
      </c>
      <c r="B37" s="1" t="n">
        <v>45233</v>
      </c>
      <c r="C37" s="1" t="n">
        <v>46059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18848-2024</t>
        </is>
      </c>
      <c r="B38" s="1" t="n">
        <v>45426.68278935185</v>
      </c>
      <c r="C38" s="1" t="n">
        <v>46059</v>
      </c>
      <c r="D38" t="inlineStr">
        <is>
          <t>STOCKHOLMS LÄN</t>
        </is>
      </c>
      <c r="E38" t="inlineStr">
        <is>
          <t>NYKVARN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52963-2022</t>
        </is>
      </c>
      <c r="B39" s="1" t="n">
        <v>44875</v>
      </c>
      <c r="C39" s="1" t="n">
        <v>46059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8096-2023</t>
        </is>
      </c>
      <c r="B40" s="1" t="n">
        <v>44974.389375</v>
      </c>
      <c r="C40" s="1" t="n">
        <v>46059</v>
      </c>
      <c r="D40" t="inlineStr">
        <is>
          <t>STOCKHOLMS LÄN</t>
        </is>
      </c>
      <c r="E40" t="inlineStr">
        <is>
          <t>NYKVARN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59342-2025</t>
        </is>
      </c>
      <c r="B41" s="1" t="n">
        <v>45989.38784722222</v>
      </c>
      <c r="C41" s="1" t="n">
        <v>46059</v>
      </c>
      <c r="D41" t="inlineStr">
        <is>
          <t>STOCKHOLMS LÄN</t>
        </is>
      </c>
      <c r="E41" t="inlineStr">
        <is>
          <t>NYKVARN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59348-2025</t>
        </is>
      </c>
      <c r="B42" s="1" t="n">
        <v>45989.40099537037</v>
      </c>
      <c r="C42" s="1" t="n">
        <v>46059</v>
      </c>
      <c r="D42" t="inlineStr">
        <is>
          <t>STOCKHOLMS LÄN</t>
        </is>
      </c>
      <c r="E42" t="inlineStr">
        <is>
          <t>NYKVARN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40168-2023</t>
        </is>
      </c>
      <c r="B43" s="1" t="n">
        <v>45169.38591435185</v>
      </c>
      <c r="C43" s="1" t="n">
        <v>46059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39539-2023</t>
        </is>
      </c>
      <c r="B44" s="1" t="n">
        <v>45167</v>
      </c>
      <c r="C44" s="1" t="n">
        <v>46059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46059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6857-2022</t>
        </is>
      </c>
      <c r="B46" s="1" t="n">
        <v>44602.69712962963</v>
      </c>
      <c r="C46" s="1" t="n">
        <v>46059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71540-2021</t>
        </is>
      </c>
      <c r="B47" s="1" t="n">
        <v>44540</v>
      </c>
      <c r="C47" s="1" t="n">
        <v>46059</v>
      </c>
      <c r="D47" t="inlineStr">
        <is>
          <t>STOCKHOLMS LÄN</t>
        </is>
      </c>
      <c r="E47" t="inlineStr">
        <is>
          <t>NYKVARN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60324-2022</t>
        </is>
      </c>
      <c r="B48" s="1" t="n">
        <v>44910.59086805556</v>
      </c>
      <c r="C48" s="1" t="n">
        <v>46059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63586-2023</t>
        </is>
      </c>
      <c r="B49" s="1" t="n">
        <v>45275</v>
      </c>
      <c r="C49" s="1" t="n">
        <v>46059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46059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53337-2023</t>
        </is>
      </c>
      <c r="B51" s="1" t="n">
        <v>45229.63960648148</v>
      </c>
      <c r="C51" s="1" t="n">
        <v>46059</v>
      </c>
      <c r="D51" t="inlineStr">
        <is>
          <t>STOCKHOLMS LÄN</t>
        </is>
      </c>
      <c r="E51" t="inlineStr">
        <is>
          <t>NYKVARN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54670-2023</t>
        </is>
      </c>
      <c r="B52" s="1" t="n">
        <v>45235</v>
      </c>
      <c r="C52" s="1" t="n">
        <v>46059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51813-2024</t>
        </is>
      </c>
      <c r="B53" s="1" t="n">
        <v>45607.48734953703</v>
      </c>
      <c r="C53" s="1" t="n">
        <v>46059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32555-2023</t>
        </is>
      </c>
      <c r="B54" s="1" t="n">
        <v>45121.43032407408</v>
      </c>
      <c r="C54" s="1" t="n">
        <v>46059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18793-2023</t>
        </is>
      </c>
      <c r="B55" s="1" t="n">
        <v>45044</v>
      </c>
      <c r="C55" s="1" t="n">
        <v>46059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22529-2022</t>
        </is>
      </c>
      <c r="B56" s="1" t="n">
        <v>44713</v>
      </c>
      <c r="C56" s="1" t="n">
        <v>46059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63592-2023</t>
        </is>
      </c>
      <c r="B57" s="1" t="n">
        <v>45275</v>
      </c>
      <c r="C57" s="1" t="n">
        <v>46059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6876-2022</t>
        </is>
      </c>
      <c r="B58" s="1" t="n">
        <v>44602</v>
      </c>
      <c r="C58" s="1" t="n">
        <v>46059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46059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46059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41681-2023</t>
        </is>
      </c>
      <c r="B61" s="1" t="n">
        <v>45173</v>
      </c>
      <c r="C61" s="1" t="n">
        <v>46059</v>
      </c>
      <c r="D61" t="inlineStr">
        <is>
          <t>STOCKHOLMS LÄN</t>
        </is>
      </c>
      <c r="E61" t="inlineStr">
        <is>
          <t>NYKVARN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46059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56639-2023</t>
        </is>
      </c>
      <c r="B63" s="1" t="n">
        <v>45243.72300925926</v>
      </c>
      <c r="C63" s="1" t="n">
        <v>46059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46059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46059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6854-2022</t>
        </is>
      </c>
      <c r="B66" s="1" t="n">
        <v>44602</v>
      </c>
      <c r="C66" s="1" t="n">
        <v>46059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52878-2022</t>
        </is>
      </c>
      <c r="B67" s="1" t="n">
        <v>44872</v>
      </c>
      <c r="C67" s="1" t="n">
        <v>46059</v>
      </c>
      <c r="D67" t="inlineStr">
        <is>
          <t>STOCKHOLMS LÄN</t>
        </is>
      </c>
      <c r="E67" t="inlineStr">
        <is>
          <t>NYKVARN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44725.79453703704</v>
      </c>
      <c r="C68" s="1" t="n">
        <v>46059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2172-2024</t>
        </is>
      </c>
      <c r="B69" s="1" t="n">
        <v>45309.63112268518</v>
      </c>
      <c r="C69" s="1" t="n">
        <v>46059</v>
      </c>
      <c r="D69" t="inlineStr">
        <is>
          <t>STOCKHOLMS LÄN</t>
        </is>
      </c>
      <c r="E69" t="inlineStr">
        <is>
          <t>NYKVARN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46059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20711-2021</t>
        </is>
      </c>
      <c r="B71" s="1" t="n">
        <v>44316</v>
      </c>
      <c r="C71" s="1" t="n">
        <v>46059</v>
      </c>
      <c r="D71" t="inlineStr">
        <is>
          <t>STOCKHOLMS LÄN</t>
        </is>
      </c>
      <c r="E71" t="inlineStr">
        <is>
          <t>NYKVARN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23152-2021</t>
        </is>
      </c>
      <c r="B72" s="1" t="n">
        <v>44332</v>
      </c>
      <c r="C72" s="1" t="n">
        <v>46059</v>
      </c>
      <c r="D72" t="inlineStr">
        <is>
          <t>STOCKHOLMS LÄN</t>
        </is>
      </c>
      <c r="E72" t="inlineStr">
        <is>
          <t>NYKVARN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44969-2022</t>
        </is>
      </c>
      <c r="B73" s="1" t="n">
        <v>44841.58752314815</v>
      </c>
      <c r="C73" s="1" t="n">
        <v>46059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11430-2022</t>
        </is>
      </c>
      <c r="B74" s="1" t="n">
        <v>44630.5968287037</v>
      </c>
      <c r="C74" s="1" t="n">
        <v>46059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18222-2025</t>
        </is>
      </c>
      <c r="B75" s="1" t="n">
        <v>45761.7321875</v>
      </c>
      <c r="C75" s="1" t="n">
        <v>46059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2177-2024</t>
        </is>
      </c>
      <c r="B76" s="1" t="n">
        <v>45309.64600694444</v>
      </c>
      <c r="C76" s="1" t="n">
        <v>46059</v>
      </c>
      <c r="D76" t="inlineStr">
        <is>
          <t>STOCKHOLMS LÄN</t>
        </is>
      </c>
      <c r="E76" t="inlineStr">
        <is>
          <t>NYKVARN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23655-2025</t>
        </is>
      </c>
      <c r="B77" s="1" t="n">
        <v>45792</v>
      </c>
      <c r="C77" s="1" t="n">
        <v>46059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23284-2025</t>
        </is>
      </c>
      <c r="B78" s="1" t="n">
        <v>45791.57525462963</v>
      </c>
      <c r="C78" s="1" t="n">
        <v>46059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26755-2025</t>
        </is>
      </c>
      <c r="B79" s="1" t="n">
        <v>45810.55623842592</v>
      </c>
      <c r="C79" s="1" t="n">
        <v>46059</v>
      </c>
      <c r="D79" t="inlineStr">
        <is>
          <t>STOCKHOLMS LÄN</t>
        </is>
      </c>
      <c r="E79" t="inlineStr">
        <is>
          <t>NYKVARN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26763-2025</t>
        </is>
      </c>
      <c r="B80" s="1" t="n">
        <v>45810.56418981482</v>
      </c>
      <c r="C80" s="1" t="n">
        <v>46059</v>
      </c>
      <c r="D80" t="inlineStr">
        <is>
          <t>STOCKHOLMS LÄN</t>
        </is>
      </c>
      <c r="E80" t="inlineStr">
        <is>
          <t>NYKVARN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28607-2025</t>
        </is>
      </c>
      <c r="B81" s="1" t="n">
        <v>45819.60226851852</v>
      </c>
      <c r="C81" s="1" t="n">
        <v>46059</v>
      </c>
      <c r="D81" t="inlineStr">
        <is>
          <t>STOCKHOLMS LÄN</t>
        </is>
      </c>
      <c r="E81" t="inlineStr">
        <is>
          <t>NYKVARN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28598-2025</t>
        </is>
      </c>
      <c r="B82" s="1" t="n">
        <v>45819.59659722223</v>
      </c>
      <c r="C82" s="1" t="n">
        <v>46059</v>
      </c>
      <c r="D82" t="inlineStr">
        <is>
          <t>STOCKHOLMS LÄN</t>
        </is>
      </c>
      <c r="E82" t="inlineStr">
        <is>
          <t>NYKVARN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2026-02-06T11:09:27Z</dcterms:created>
  <dcterms:modified xmlns:dcterms="http://purl.org/dc/terms/" xmlns:xsi="http://www.w3.org/2001/XMLSchema-instance" xsi:type="dcterms:W3CDTF">2026-02-06T11:09:27Z</dcterms:modified>
</cp:coreProperties>
</file>