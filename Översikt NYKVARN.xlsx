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46229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46229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3294-2026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46229</v>
      </c>
      <c r="F4" t="inlineStr">
        <is>
          <t>STOCKHOLMS LÄN</t>
        </is>
      </c>
      <c r="G4" t="inlineStr">
        <is>
          <t>NYKVARN</t>
        </is>
      </c>
      <c r="I4" t="n">
        <v>6.2</v>
      </c>
      <c r="J4" t="n">
        <v>1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5</v>
      </c>
      <c r="T4" t="n">
        <v>19</v>
      </c>
      <c r="U4" t="n">
        <v>1</v>
      </c>
      <c r="V4" s="2" t="inlineStr">
        <is>
          <t>Dropptaggsvamp
Motaggsvamp
Tallticka
Vedskivlav
Spillkråka</t>
        </is>
      </c>
      <c r="W4">
        <f>HYPERLINK("https://klasma.github.io/Logging_0140/artfynd/A 3294-2026 artfynd.xlsx", "A 3294-2026")</f>
        <v/>
      </c>
      <c r="X4">
        <f>HYPERLINK("https://klasma.github.io/Logging_0140/kartor/A 3294-2026 karta.png", "A 3294-2026")</f>
        <v/>
      </c>
      <c r="Y4">
        <f>HYPERLINK("https://klasma.github.io/Logging_0140/kartor_geotiff/A 3294-2026 georefererad karta.tif", "A 3294-2026")</f>
        <v/>
      </c>
      <c r="AA4">
        <f>HYPERLINK("https://klasma.github.io/Logging_0140/klagomål/A 3294-2026 FSC-klagomål.docx", "A 3294-2026")</f>
        <v/>
      </c>
      <c r="AB4">
        <f>HYPERLINK("https://klasma.github.io/Logging_0140/klagomålsmail/A 3294-2026 FSC-klagomål mail.docx", "A 3294-2026")</f>
        <v/>
      </c>
      <c r="AC4">
        <f>HYPERLINK("https://klasma.github.io/Logging_0140/tillsyn/A 3294-2026 tillsynsbegäran.docx", "A 3294-2026")</f>
        <v/>
      </c>
      <c r="AD4">
        <f>HYPERLINK("https://klasma.github.io/Logging_0140/tillsynsmail/A 3294-2026 tillsynsbegäran mail.docx", "A 3294-2026")</f>
        <v/>
      </c>
      <c r="AE4">
        <f>HYPERLINK("https://klasma.github.io/Logging_0140/fåglar/A 3294-2026 prioriterade fågelarter.docx", "A 3294-2026")</f>
        <v/>
      </c>
    </row>
    <row r="5" ht="15" customHeight="1">
      <c r="A5" t="inlineStr">
        <is>
          <t>A 49680-2022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44862</v>
      </c>
      <c r="E5" s="1" t="n">
        <v>46229</v>
      </c>
      <c r="F5" t="inlineStr">
        <is>
          <t>STOCKHOLMS LÄN</t>
        </is>
      </c>
      <c r="G5" t="inlineStr">
        <is>
          <t>NYKVARN</t>
        </is>
      </c>
      <c r="H5" t="inlineStr">
        <is>
          <t>Allmännings- och besparingsskogar</t>
        </is>
      </c>
      <c r="I5" t="n">
        <v>2.4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Ullticka
Granbarkgnagare</t>
        </is>
      </c>
      <c r="W5">
        <f>HYPERLINK("https://klasma.github.io/Logging_0140/artfynd/A 49680-2022 artfynd.xlsx", "A 49680-2022")</f>
        <v/>
      </c>
      <c r="X5">
        <f>HYPERLINK("https://klasma.github.io/Logging_0140/kartor/A 49680-2022 karta.png", "A 49680-2022")</f>
        <v/>
      </c>
      <c r="Y5">
        <f>HYPERLINK("https://klasma.github.io/Logging_0140/kartor_geotiff/A 49680-2022 georefererad karta.tif", "A 49680-2022")</f>
        <v/>
      </c>
      <c r="AA5">
        <f>HYPERLINK("https://klasma.github.io/Logging_0140/klagomål/A 49680-2022 FSC-klagomål.docx", "A 49680-2022")</f>
        <v/>
      </c>
      <c r="AB5">
        <f>HYPERLINK("https://klasma.github.io/Logging_0140/klagomålsmail/A 49680-2022 FSC-klagomål mail.docx", "A 49680-2022")</f>
        <v/>
      </c>
      <c r="AC5">
        <f>HYPERLINK("https://klasma.github.io/Logging_0140/tillsyn/A 49680-2022 tillsynsbegäran.docx", "A 49680-2022")</f>
        <v/>
      </c>
      <c r="AD5">
        <f>HYPERLINK("https://klasma.github.io/Logging_0140/tillsynsmail/A 49680-2022 tillsynsbegäran mail.docx", "A 49680-2022")</f>
        <v/>
      </c>
    </row>
    <row r="6" ht="15" customHeight="1">
      <c r="A6" t="inlineStr">
        <is>
          <t>A 19216-2026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46132</v>
      </c>
      <c r="E6" s="1" t="n">
        <v>46229</v>
      </c>
      <c r="F6" t="inlineStr">
        <is>
          <t>STOCKHOLMS LÄN</t>
        </is>
      </c>
      <c r="G6" t="inlineStr">
        <is>
          <t>NYKVARN</t>
        </is>
      </c>
      <c r="H6" t="inlineStr">
        <is>
          <t>Sveaskog</t>
        </is>
      </c>
      <c r="I6" t="n">
        <v>2.6</v>
      </c>
      <c r="J6" t="n">
        <v>0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Motaggsvamp
Tallticka</t>
        </is>
      </c>
      <c r="W6">
        <f>HYPERLINK("https://klasma.github.io/Logging_0140/artfynd/A 19216-2026 artfynd.xlsx", "A 19216-2026")</f>
        <v/>
      </c>
      <c r="X6">
        <f>HYPERLINK("https://klasma.github.io/Logging_0140/kartor/A 19216-2026 karta.png", "A 19216-2026")</f>
        <v/>
      </c>
      <c r="Y6">
        <f>HYPERLINK("https://klasma.github.io/Logging_0140/kartor_geotiff/A 19216-2026 georefererad karta.tif", "A 19216-2026")</f>
        <v/>
      </c>
      <c r="AA6">
        <f>HYPERLINK("https://klasma.github.io/Logging_0140/klagomål/A 19216-2026 FSC-klagomål.docx", "A 19216-2026")</f>
        <v/>
      </c>
      <c r="AB6">
        <f>HYPERLINK("https://klasma.github.io/Logging_0140/klagomålsmail/A 19216-2026 FSC-klagomål mail.docx", "A 19216-2026")</f>
        <v/>
      </c>
      <c r="AC6">
        <f>HYPERLINK("https://klasma.github.io/Logging_0140/tillsyn/A 19216-2026 tillsynsbegäran.docx", "A 19216-2026")</f>
        <v/>
      </c>
      <c r="AD6">
        <f>HYPERLINK("https://klasma.github.io/Logging_0140/tillsynsmail/A 19216-2026 tillsynsbegäran mail.docx", "A 19216-2026")</f>
        <v/>
      </c>
    </row>
    <row r="7" ht="15" customHeight="1">
      <c r="A7" t="inlineStr">
        <is>
          <t>A 11388-2024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45372</v>
      </c>
      <c r="E7" s="1" t="n">
        <v>46229</v>
      </c>
      <c r="F7" t="inlineStr">
        <is>
          <t>STOCKHOLMS LÄN</t>
        </is>
      </c>
      <c r="G7" t="inlineStr">
        <is>
          <t>NYKVARN</t>
        </is>
      </c>
      <c r="I7" t="n">
        <v>4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Igelkott</t>
        </is>
      </c>
      <c r="W7">
        <f>HYPERLINK("https://klasma.github.io/Logging_0140/artfynd/A 11388-2024 artfynd.xlsx", "A 11388-2024")</f>
        <v/>
      </c>
      <c r="X7">
        <f>HYPERLINK("https://klasma.github.io/Logging_0140/kartor/A 11388-2024 karta.png", "A 11388-2024")</f>
        <v/>
      </c>
      <c r="Y7">
        <f>HYPERLINK("https://klasma.github.io/Logging_0140/kartor_geotiff/A 11388-2024 georefererad karta.tif", "A 11388-2024")</f>
        <v/>
      </c>
      <c r="AA7">
        <f>HYPERLINK("https://klasma.github.io/Logging_0140/klagomål/A 11388-2024 FSC-klagomål.docx", "A 11388-2024")</f>
        <v/>
      </c>
      <c r="AB7">
        <f>HYPERLINK("https://klasma.github.io/Logging_0140/klagomålsmail/A 11388-2024 FSC-klagomål mail.docx", "A 11388-2024")</f>
        <v/>
      </c>
      <c r="AC7">
        <f>HYPERLINK("https://klasma.github.io/Logging_0140/tillsyn/A 11388-2024 tillsynsbegäran.docx", "A 11388-2024")</f>
        <v/>
      </c>
      <c r="AD7">
        <f>HYPERLINK("https://klasma.github.io/Logging_0140/tillsynsmail/A 11388-2024 tillsynsbegäran mail.docx", "A 11388-2024")</f>
        <v/>
      </c>
    </row>
    <row r="8" ht="15" customHeight="1">
      <c r="A8" t="inlineStr">
        <is>
          <t>A 18848-2024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46229</v>
      </c>
      <c r="F8" t="inlineStr">
        <is>
          <t>STOCKHOLMS LÄN</t>
        </is>
      </c>
      <c r="G8" t="inlineStr">
        <is>
          <t>NYKVARN</t>
        </is>
      </c>
      <c r="I8" t="n">
        <v>0.6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HYPERLINK("https://klasma.github.io/Logging_0140/artfynd/A 18848-2024 artfynd.xlsx", "A 18848-2024")</f>
        <v/>
      </c>
      <c r="X8">
        <f>HYPERLINK("https://klasma.github.io/Logging_0140/kartor/A 18848-2024 karta.png", "A 18848-2024")</f>
        <v/>
      </c>
      <c r="Y8">
        <f>HYPERLINK("https://klasma.github.io/Logging_0140/kartor_geotiff/A 18848-2024 georefererad karta.tif", "A 18848-2024")</f>
        <v/>
      </c>
      <c r="AA8">
        <f>HYPERLINK("https://klasma.github.io/Logging_0140/klagomål/A 18848-2024 FSC-klagomål.docx", "A 18848-2024")</f>
        <v/>
      </c>
      <c r="AB8">
        <f>HYPERLINK("https://klasma.github.io/Logging_0140/klagomålsmail/A 18848-2024 FSC-klagomål mail.docx", "A 18848-2024")</f>
        <v/>
      </c>
      <c r="AC8">
        <f>HYPERLINK("https://klasma.github.io/Logging_0140/tillsyn/A 18848-2024 tillsynsbegäran.docx", "A 18848-2024")</f>
        <v/>
      </c>
      <c r="AD8">
        <f>HYPERLINK("https://klasma.github.io/Logging_0140/tillsynsmail/A 18848-2024 tillsynsbegäran mail.docx", "A 18848-2024")</f>
        <v/>
      </c>
    </row>
    <row r="9" ht="15" customHeight="1">
      <c r="A9" t="inlineStr">
        <is>
          <t>A 25754-2023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45084</v>
      </c>
      <c r="E9" s="1" t="n">
        <v>46229</v>
      </c>
      <c r="F9" t="inlineStr">
        <is>
          <t>STOCKHOLMS LÄN</t>
        </is>
      </c>
      <c r="G9" t="inlineStr">
        <is>
          <t>NYKVARN</t>
        </is>
      </c>
      <c r="I9" t="n">
        <v>1.2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Trana</t>
        </is>
      </c>
      <c r="W9">
        <f>HYPERLINK("https://klasma.github.io/Logging_0140/artfynd/A 25754-2023 artfynd.xlsx", "A 25754-2023")</f>
        <v/>
      </c>
      <c r="X9">
        <f>HYPERLINK("https://klasma.github.io/Logging_0140/kartor/A 25754-2023 karta.png", "A 25754-2023")</f>
        <v/>
      </c>
      <c r="Y9">
        <f>HYPERLINK("https://klasma.github.io/Logging_0140/kartor_geotiff/A 25754-2023 georefererad karta.tif", "A 25754-2023")</f>
        <v/>
      </c>
      <c r="AA9">
        <f>HYPERLINK("https://klasma.github.io/Logging_0140/klagomål/A 25754-2023 FSC-klagomål.docx", "A 25754-2023")</f>
        <v/>
      </c>
      <c r="AB9">
        <f>HYPERLINK("https://klasma.github.io/Logging_0140/klagomålsmail/A 25754-2023 FSC-klagomål mail.docx", "A 25754-2023")</f>
        <v/>
      </c>
      <c r="AC9">
        <f>HYPERLINK("https://klasma.github.io/Logging_0140/tillsyn/A 25754-2023 tillsynsbegäran.docx", "A 25754-2023")</f>
        <v/>
      </c>
      <c r="AD9">
        <f>HYPERLINK("https://klasma.github.io/Logging_0140/tillsynsmail/A 25754-2023 tillsynsbegäran mail.docx", "A 25754-2023")</f>
        <v/>
      </c>
      <c r="AE9">
        <f>HYPERLINK("https://klasma.github.io/Logging_0140/fåglar/A 25754-2023 prioriterade fågelarter.docx", "A 25754-2023")</f>
        <v/>
      </c>
    </row>
    <row r="10" ht="15" customHeight="1">
      <c r="A10" t="inlineStr">
        <is>
          <t>A 59342-2025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46229</v>
      </c>
      <c r="F10" t="inlineStr">
        <is>
          <t>STOCKHOLMS LÄN</t>
        </is>
      </c>
      <c r="G10" t="inlineStr">
        <is>
          <t>NYKVARN</t>
        </is>
      </c>
      <c r="I10" t="n">
        <v>1.9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Kösa</t>
        </is>
      </c>
      <c r="W10">
        <f>HYPERLINK("https://klasma.github.io/Logging_0140/artfynd/A 59342-2025 artfynd.xlsx", "A 59342-2025")</f>
        <v/>
      </c>
      <c r="X10">
        <f>HYPERLINK("https://klasma.github.io/Logging_0140/kartor/A 59342-2025 karta.png", "A 59342-2025")</f>
        <v/>
      </c>
      <c r="Y10">
        <f>HYPERLINK("https://klasma.github.io/Logging_0140/kartor_geotiff/A 59342-2025 georefererad karta.tif", "A 59342-2025")</f>
        <v/>
      </c>
      <c r="AA10">
        <f>HYPERLINK("https://klasma.github.io/Logging_0140/klagomål/A 59342-2025 FSC-klagomål.docx", "A 59342-2025")</f>
        <v/>
      </c>
      <c r="AB10">
        <f>HYPERLINK("https://klasma.github.io/Logging_0140/klagomålsmail/A 59342-2025 FSC-klagomål mail.docx", "A 59342-2025")</f>
        <v/>
      </c>
      <c r="AC10">
        <f>HYPERLINK("https://klasma.github.io/Logging_0140/tillsyn/A 59342-2025 tillsynsbegäran.docx", "A 59342-2025")</f>
        <v/>
      </c>
      <c r="AD10">
        <f>HYPERLINK("https://klasma.github.io/Logging_0140/tillsynsmail/A 59342-2025 tillsynsbegäran mail.docx", "A 59342-2025")</f>
        <v/>
      </c>
    </row>
    <row r="11" ht="15" customHeight="1">
      <c r="A11" t="inlineStr">
        <is>
          <t>A 37597-2024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45541</v>
      </c>
      <c r="E11" s="1" t="n">
        <v>46229</v>
      </c>
      <c r="F11" t="inlineStr">
        <is>
          <t>STOCKHOLMS LÄN</t>
        </is>
      </c>
      <c r="G11" t="inlineStr">
        <is>
          <t>NYKVARN</t>
        </is>
      </c>
      <c r="I11" t="n">
        <v>1.3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Röd glada</t>
        </is>
      </c>
      <c r="W11">
        <f>HYPERLINK("https://klasma.github.io/Logging_0140/artfynd/A 37597-2024 artfynd.xlsx", "A 37597-2024")</f>
        <v/>
      </c>
      <c r="X11">
        <f>HYPERLINK("https://klasma.github.io/Logging_0140/kartor/A 37597-2024 karta.png", "A 37597-2024")</f>
        <v/>
      </c>
      <c r="Y11">
        <f>HYPERLINK("https://klasma.github.io/Logging_0140/kartor_geotiff/A 37597-2024 georefererad karta.tif", "A 37597-2024")</f>
        <v/>
      </c>
      <c r="AA11">
        <f>HYPERLINK("https://klasma.github.io/Logging_0140/klagomål/A 37597-2024 FSC-klagomål.docx", "A 37597-2024")</f>
        <v/>
      </c>
      <c r="AB11">
        <f>HYPERLINK("https://klasma.github.io/Logging_0140/klagomålsmail/A 37597-2024 FSC-klagomål mail.docx", "A 37597-2024")</f>
        <v/>
      </c>
      <c r="AC11">
        <f>HYPERLINK("https://klasma.github.io/Logging_0140/tillsyn/A 37597-2024 tillsynsbegäran.docx", "A 37597-2024")</f>
        <v/>
      </c>
      <c r="AD11">
        <f>HYPERLINK("https://klasma.github.io/Logging_0140/tillsynsmail/A 37597-2024 tillsynsbegäran mail.docx", "A 37597-2024")</f>
        <v/>
      </c>
      <c r="AE11">
        <f>HYPERLINK("https://klasma.github.io/Logging_0140/fåglar/A 37597-2024 prioriterade fågelarter.docx", "A 37597-2024")</f>
        <v/>
      </c>
    </row>
    <row r="12" ht="15" customHeight="1">
      <c r="A12" t="inlineStr">
        <is>
          <t>A 39539-2023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45167</v>
      </c>
      <c r="E12" s="1" t="n">
        <v>46229</v>
      </c>
      <c r="F12" t="inlineStr">
        <is>
          <t>STOCKHOLMS LÄN</t>
        </is>
      </c>
      <c r="G12" t="inlineStr">
        <is>
          <t>NYKVARN</t>
        </is>
      </c>
      <c r="I12" t="n">
        <v>2.3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HYPERLINK("https://klasma.github.io/Logging_0140/artfynd/A 39539-2023 artfynd.xlsx", "A 39539-2023")</f>
        <v/>
      </c>
      <c r="X12">
        <f>HYPERLINK("https://klasma.github.io/Logging_0140/kartor/A 39539-2023 karta.png", "A 39539-2023")</f>
        <v/>
      </c>
      <c r="Y12">
        <f>HYPERLINK("https://klasma.github.io/Logging_0140/kartor_geotiff/A 39539-2023 georefererad karta.tif", "A 39539-2023")</f>
        <v/>
      </c>
      <c r="AA12">
        <f>HYPERLINK("https://klasma.github.io/Logging_0140/klagomål/A 39539-2023 FSC-klagomål.docx", "A 39539-2023")</f>
        <v/>
      </c>
      <c r="AB12">
        <f>HYPERLINK("https://klasma.github.io/Logging_0140/klagomålsmail/A 39539-2023 FSC-klagomål mail.docx", "A 39539-2023")</f>
        <v/>
      </c>
      <c r="AC12">
        <f>HYPERLINK("https://klasma.github.io/Logging_0140/tillsyn/A 39539-2023 tillsynsbegäran.docx", "A 39539-2023")</f>
        <v/>
      </c>
      <c r="AD12">
        <f>HYPERLINK("https://klasma.github.io/Logging_0140/tillsynsmail/A 39539-2023 tillsynsbegäran mail.docx", "A 39539-2023")</f>
        <v/>
      </c>
    </row>
    <row r="13" ht="15" customHeight="1">
      <c r="A13" t="inlineStr">
        <is>
          <t>A 24790-2026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46229</v>
      </c>
      <c r="F13" t="inlineStr">
        <is>
          <t>STOCKHOLMS LÄN</t>
        </is>
      </c>
      <c r="G13" t="inlineStr">
        <is>
          <t>NYKVARN</t>
        </is>
      </c>
      <c r="H13" t="inlineStr">
        <is>
          <t>Kommuner</t>
        </is>
      </c>
      <c r="I13" t="n">
        <v>0.8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Kopparödla</t>
        </is>
      </c>
      <c r="W13">
        <f>HYPERLINK("https://klasma.github.io/Logging_0140/artfynd/A 24790-2026 artfynd.xlsx", "A 24790-2026")</f>
        <v/>
      </c>
      <c r="X13">
        <f>HYPERLINK("https://klasma.github.io/Logging_0140/kartor/A 24790-2026 karta.png", "A 24790-2026")</f>
        <v/>
      </c>
      <c r="Y13">
        <f>HYPERLINK("https://klasma.github.io/Logging_0140/kartor_geotiff/A 24790-2026 georefererad karta.tif", "A 24790-2026")</f>
        <v/>
      </c>
      <c r="AA13">
        <f>HYPERLINK("https://klasma.github.io/Logging_0140/klagomål/A 24790-2026 FSC-klagomål.docx", "A 24790-2026")</f>
        <v/>
      </c>
      <c r="AB13">
        <f>HYPERLINK("https://klasma.github.io/Logging_0140/klagomålsmail/A 24790-2026 FSC-klagomål mail.docx", "A 24790-2026")</f>
        <v/>
      </c>
      <c r="AC13">
        <f>HYPERLINK("https://klasma.github.io/Logging_0140/tillsyn/A 24790-2026 tillsynsbegäran.docx", "A 24790-2026")</f>
        <v/>
      </c>
      <c r="AD13">
        <f>HYPERLINK("https://klasma.github.io/Logging_0140/tillsynsmail/A 24790-2026 tillsynsbegäran mail.docx", "A 24790-2026")</f>
        <v/>
      </c>
    </row>
    <row r="14" ht="15" customHeight="1">
      <c r="A14" t="inlineStr">
        <is>
          <t>A 6876-2022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44602</v>
      </c>
      <c r="E14" s="1" t="n">
        <v>46229</v>
      </c>
      <c r="F14" t="inlineStr">
        <is>
          <t>STOCKHOLMS LÄN</t>
        </is>
      </c>
      <c r="G14" t="inlineStr">
        <is>
          <t>NYKVARN</t>
        </is>
      </c>
      <c r="H14" t="inlineStr">
        <is>
          <t>Kommuner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HYPERLINK("https://klasma.github.io/Logging_0140/artfynd/A 6876-2022 artfynd.xlsx", "A 6876-2022")</f>
        <v/>
      </c>
      <c r="X14">
        <f>HYPERLINK("https://klasma.github.io/Logging_0140/kartor/A 6876-2022 karta.png", "A 6876-2022")</f>
        <v/>
      </c>
      <c r="Y14">
        <f>HYPERLINK("https://klasma.github.io/Logging_0140/kartor_geotiff/A 6876-2022 georefererad karta.tif", "A 6876-2022")</f>
        <v/>
      </c>
      <c r="AA14">
        <f>HYPERLINK("https://klasma.github.io/Logging_0140/klagomål/A 6876-2022 FSC-klagomål.docx", "A 6876-2022")</f>
        <v/>
      </c>
      <c r="AB14">
        <f>HYPERLINK("https://klasma.github.io/Logging_0140/klagomålsmail/A 6876-2022 FSC-klagomål mail.docx", "A 6876-2022")</f>
        <v/>
      </c>
      <c r="AC14">
        <f>HYPERLINK("https://klasma.github.io/Logging_0140/tillsyn/A 6876-2022 tillsynsbegäran.docx", "A 6876-2022")</f>
        <v/>
      </c>
      <c r="AD14">
        <f>HYPERLINK("https://klasma.github.io/Logging_0140/tillsynsmail/A 6876-2022 tillsynsbegäran mail.docx", "A 6876-2022")</f>
        <v/>
      </c>
    </row>
    <row r="15" ht="15" customHeight="1">
      <c r="A15" t="inlineStr">
        <is>
          <t>A 8285-2022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44610</v>
      </c>
      <c r="E15" s="1" t="n">
        <v>46229</v>
      </c>
      <c r="F15" t="inlineStr">
        <is>
          <t>STOCKHOLMS LÄN</t>
        </is>
      </c>
      <c r="G15" t="inlineStr">
        <is>
          <t>NYKVARN</t>
        </is>
      </c>
      <c r="I15" t="n">
        <v>5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HYPERLINK("https://klasma.github.io/Logging_0140/artfynd/A 8285-2022 artfynd.xlsx", "A 8285-2022")</f>
        <v/>
      </c>
      <c r="X15">
        <f>HYPERLINK("https://klasma.github.io/Logging_0140/kartor/A 8285-2022 karta.png", "A 8285-2022")</f>
        <v/>
      </c>
      <c r="Y15">
        <f>HYPERLINK("https://klasma.github.io/Logging_0140/kartor_geotiff/A 8285-2022 georefererad karta.tif", "A 8285-2022")</f>
        <v/>
      </c>
      <c r="AA15">
        <f>HYPERLINK("https://klasma.github.io/Logging_0140/klagomål/A 8285-2022 FSC-klagomål.docx", "A 8285-2022")</f>
        <v/>
      </c>
      <c r="AB15">
        <f>HYPERLINK("https://klasma.github.io/Logging_0140/klagomålsmail/A 8285-2022 FSC-klagomål mail.docx", "A 8285-2022")</f>
        <v/>
      </c>
      <c r="AC15">
        <f>HYPERLINK("https://klasma.github.io/Logging_0140/tillsyn/A 8285-2022 tillsynsbegäran.docx", "A 8285-2022")</f>
        <v/>
      </c>
      <c r="AD15">
        <f>HYPERLINK("https://klasma.github.io/Logging_0140/tillsynsmail/A 8285-2022 tillsynsbegäran mail.docx", "A 8285-2022")</f>
        <v/>
      </c>
    </row>
    <row r="16" ht="15" customHeight="1">
      <c r="A16" t="inlineStr">
        <is>
          <t>A 15912-2026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46107</v>
      </c>
      <c r="E16" s="1" t="n">
        <v>46229</v>
      </c>
      <c r="F16" t="inlineStr">
        <is>
          <t>STOCKHOLMS LÄN</t>
        </is>
      </c>
      <c r="G16" t="inlineStr">
        <is>
          <t>NYKVARN</t>
        </is>
      </c>
      <c r="H16" t="inlineStr">
        <is>
          <t>Sveaskog</t>
        </is>
      </c>
      <c r="I16" t="n">
        <v>12.9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Skogsödla</t>
        </is>
      </c>
      <c r="W16">
        <f>HYPERLINK("https://klasma.github.io/Logging_0140/artfynd/A 15912-2026 artfynd.xlsx", "A 15912-2026")</f>
        <v/>
      </c>
      <c r="X16">
        <f>HYPERLINK("https://klasma.github.io/Logging_0140/kartor/A 15912-2026 karta.png", "A 15912-2026")</f>
        <v/>
      </c>
      <c r="Y16">
        <f>HYPERLINK("https://klasma.github.io/Logging_0140/kartor_geotiff/A 15912-2026 georefererad karta.tif", "A 15912-2026")</f>
        <v/>
      </c>
      <c r="AA16">
        <f>HYPERLINK("https://klasma.github.io/Logging_0140/klagomål/A 15912-2026 FSC-klagomål.docx", "A 15912-2026")</f>
        <v/>
      </c>
      <c r="AB16">
        <f>HYPERLINK("https://klasma.github.io/Logging_0140/klagomålsmail/A 15912-2026 FSC-klagomål mail.docx", "A 15912-2026")</f>
        <v/>
      </c>
      <c r="AC16">
        <f>HYPERLINK("https://klasma.github.io/Logging_0140/tillsyn/A 15912-2026 tillsynsbegäran.docx", "A 15912-2026")</f>
        <v/>
      </c>
      <c r="AD16">
        <f>HYPERLINK("https://klasma.github.io/Logging_0140/tillsynsmail/A 15912-2026 tillsynsbegäran mail.docx", "A 15912-2026")</f>
        <v/>
      </c>
    </row>
    <row r="17" ht="15" customHeight="1">
      <c r="A17" t="inlineStr">
        <is>
          <t>A 17009-2026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46114</v>
      </c>
      <c r="E17" s="1" t="n">
        <v>46229</v>
      </c>
      <c r="F17" t="inlineStr">
        <is>
          <t>STOCKHOLMS LÄN</t>
        </is>
      </c>
      <c r="G17" t="inlineStr">
        <is>
          <t>NYKVARN</t>
        </is>
      </c>
      <c r="H17" t="inlineStr">
        <is>
          <t>Sveaskog</t>
        </is>
      </c>
      <c r="I17" t="n">
        <v>8.699999999999999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2</v>
      </c>
      <c r="U17" t="n">
        <v>2</v>
      </c>
      <c r="V17" s="2" t="inlineStr">
        <is>
          <t>Mattlummer</t>
        </is>
      </c>
      <c r="W17">
        <f>HYPERLINK("https://klasma.github.io/Logging_0140/artfynd/A 17009-2026 artfynd.xlsx", "A 17009-2026")</f>
        <v/>
      </c>
      <c r="X17">
        <f>HYPERLINK("https://klasma.github.io/Logging_0140/kartor/A 17009-2026 karta.png", "A 17009-2026")</f>
        <v/>
      </c>
      <c r="Y17">
        <f>HYPERLINK("https://klasma.github.io/Logging_0140/kartor_geotiff/A 17009-2026 georefererad karta.tif", "A 17009-2026")</f>
        <v/>
      </c>
      <c r="AA17">
        <f>HYPERLINK("https://klasma.github.io/Logging_0140/klagomål/A 17009-2026 FSC-klagomål.docx", "A 17009-2026")</f>
        <v/>
      </c>
      <c r="AB17">
        <f>HYPERLINK("https://klasma.github.io/Logging_0140/klagomålsmail/A 17009-2026 FSC-klagomål mail.docx", "A 17009-2026")</f>
        <v/>
      </c>
      <c r="AC17">
        <f>HYPERLINK("https://klasma.github.io/Logging_0140/tillsyn/A 17009-2026 tillsynsbegäran.docx", "A 17009-2026")</f>
        <v/>
      </c>
      <c r="AD17">
        <f>HYPERLINK("https://klasma.github.io/Logging_0140/tillsynsmail/A 17009-2026 tillsynsbegäran mail.docx", "A 17009-2026")</f>
        <v/>
      </c>
    </row>
    <row r="18" ht="15" customHeight="1">
      <c r="A18" t="inlineStr">
        <is>
          <t>A 11393-2022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44630</v>
      </c>
      <c r="E18" s="1" t="n">
        <v>46229</v>
      </c>
      <c r="F18" t="inlineStr">
        <is>
          <t>STOCKHOLMS LÄN</t>
        </is>
      </c>
      <c r="G18" t="inlineStr">
        <is>
          <t>NYKVARN</t>
        </is>
      </c>
      <c r="I18" t="n">
        <v>3.8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Björksplintborre</t>
        </is>
      </c>
      <c r="W18">
        <f>HYPERLINK("https://klasma.github.io/Logging_0140/artfynd/A 11393-2022 artfynd.xlsx", "A 11393-2022")</f>
        <v/>
      </c>
      <c r="X18">
        <f>HYPERLINK("https://klasma.github.io/Logging_0140/kartor/A 11393-2022 karta.png", "A 11393-2022")</f>
        <v/>
      </c>
      <c r="Y18">
        <f>HYPERLINK("https://klasma.github.io/Logging_0140/kartor_geotiff/A 11393-2022 georefererad karta.tif", "A 11393-2022")</f>
        <v/>
      </c>
      <c r="AA18">
        <f>HYPERLINK("https://klasma.github.io/Logging_0140/klagomål/A 11393-2022 FSC-klagomål.docx", "A 11393-2022")</f>
        <v/>
      </c>
      <c r="AB18">
        <f>HYPERLINK("https://klasma.github.io/Logging_0140/klagomålsmail/A 11393-2022 FSC-klagomål mail.docx", "A 11393-2022")</f>
        <v/>
      </c>
      <c r="AC18">
        <f>HYPERLINK("https://klasma.github.io/Logging_0140/tillsyn/A 11393-2022 tillsynsbegäran.docx", "A 11393-2022")</f>
        <v/>
      </c>
      <c r="AD18">
        <f>HYPERLINK("https://klasma.github.io/Logging_0140/tillsynsmail/A 11393-2022 tillsynsbegäran mail.docx", "A 11393-2022")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46229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S 1552-2023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45055</v>
      </c>
      <c r="E20" s="1" t="n">
        <v>46229</v>
      </c>
      <c r="F20" t="inlineStr">
        <is>
          <t>STOCKHOLMS LÄN</t>
        </is>
      </c>
      <c r="G20" t="inlineStr">
        <is>
          <t>NYKVARN</t>
        </is>
      </c>
      <c r="H20" t="inlineStr">
        <is>
          <t>Kommuner</t>
        </is>
      </c>
      <c r="I20" t="n">
        <v>1.3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Brandticka</t>
        </is>
      </c>
      <c r="W20">
        <f>HYPERLINK("https://klasma.github.io/Logging_0140/artfynd/S 1552-2023 artfynd.xlsx", "S 1552-2023")</f>
        <v/>
      </c>
      <c r="X20">
        <f>HYPERLINK("https://klasma.github.io/Logging_0140/kartor/S 1552-2023 karta.png", "S 1552-2023")</f>
        <v/>
      </c>
      <c r="Y20">
        <f>HYPERLINK("https://klasma.github.io/Logging_0140/kartor_geotiff/S 1552-2023 georefererad karta.tif", "S 1552-2023")</f>
        <v/>
      </c>
      <c r="AA20">
        <f>HYPERLINK("https://klasma.github.io/Logging_0140/klagomål/S 1552-2023 FSC-klagomål.docx", "S 1552-2023")</f>
        <v/>
      </c>
      <c r="AB20">
        <f>HYPERLINK("https://klasma.github.io/Logging_0140/klagomålsmail/S 1552-2023 FSC-klagomål mail.docx", "S 1552-2023")</f>
        <v/>
      </c>
      <c r="AC20">
        <f>HYPERLINK("https://klasma.github.io/Logging_0140/tillsyn/S 1552-2023 tillsynsbegäran.docx", "S 1552-2023")</f>
        <v/>
      </c>
      <c r="AD20">
        <f>HYPERLINK("https://klasma.github.io/Logging_0140/tillsynsmail/S 1552-2023 tillsynsbegäran mail.docx", "S 1552-2023")</f>
        <v/>
      </c>
    </row>
    <row r="21" ht="15" customHeight="1">
      <c r="A21" t="inlineStr">
        <is>
          <t>S 1147-2023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45020</v>
      </c>
      <c r="E21" s="1" t="n">
        <v>46229</v>
      </c>
      <c r="F21" t="inlineStr">
        <is>
          <t>STOCKHOLMS LÄN</t>
        </is>
      </c>
      <c r="G21" t="inlineStr">
        <is>
          <t>NYKVARN</t>
        </is>
      </c>
      <c r="H21" t="inlineStr">
        <is>
          <t>Sveaskog</t>
        </is>
      </c>
      <c r="I21" t="n">
        <v>3.5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Ekticka</t>
        </is>
      </c>
      <c r="W21">
        <f>HYPERLINK("https://klasma.github.io/Logging_0140/artfynd/S 1147-2023 artfynd.xlsx", "S 1147-2023")</f>
        <v/>
      </c>
      <c r="X21">
        <f>HYPERLINK("https://klasma.github.io/Logging_0140/kartor/S 1147-2023 karta.png", "S 1147-2023")</f>
        <v/>
      </c>
      <c r="Y21">
        <f>HYPERLINK("https://klasma.github.io/Logging_0140/kartor_geotiff/S 1147-2023 georefererad karta.tif", "S 1147-2023")</f>
        <v/>
      </c>
      <c r="AA21">
        <f>HYPERLINK("https://klasma.github.io/Logging_0140/klagomål/S 1147-2023 FSC-klagomål.docx", "S 1147-2023")</f>
        <v/>
      </c>
      <c r="AB21">
        <f>HYPERLINK("https://klasma.github.io/Logging_0140/klagomålsmail/S 1147-2023 FSC-klagomål mail.docx", "S 1147-2023")</f>
        <v/>
      </c>
      <c r="AC21">
        <f>HYPERLINK("https://klasma.github.io/Logging_0140/tillsyn/S 1147-2023 tillsynsbegäran.docx", "S 1147-2023")</f>
        <v/>
      </c>
      <c r="AD21">
        <f>HYPERLINK("https://klasma.github.io/Logging_0140/tillsynsmail/S 1147-2023 tillsynsbegäran mail.docx", "S 1147-2023")</f>
        <v/>
      </c>
    </row>
    <row r="22" ht="15" customHeight="1">
      <c r="A22" t="inlineStr">
        <is>
          <t>S 495-2026</t>
        </is>
      </c>
      <c r="B22" t="inlineStr">
        <is>
          <t>samrådsanmälan</t>
        </is>
      </c>
      <c r="C22" t="inlineStr">
        <is>
          <t>Annan skogsbruksåtgärd</t>
        </is>
      </c>
      <c r="D22" s="1" t="n">
        <v>46073</v>
      </c>
      <c r="E22" s="1" t="n">
        <v>46229</v>
      </c>
      <c r="F22" t="inlineStr">
        <is>
          <t>STOCKHOLMS LÄN</t>
        </is>
      </c>
      <c r="G22" t="inlineStr">
        <is>
          <t>NYKVARN</t>
        </is>
      </c>
      <c r="H22" t="inlineStr">
        <is>
          <t>Kommuner</t>
        </is>
      </c>
      <c r="I22" t="n">
        <v>6.4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17</v>
      </c>
      <c r="U22" t="n">
        <v>0</v>
      </c>
      <c r="V22" s="2" t="inlineStr">
        <is>
          <t>Knärot</t>
        </is>
      </c>
      <c r="W22">
        <f>HYPERLINK("https://klasma.github.io/Logging_0140/artfynd/S 495-2026 artfynd.xlsx", "S 495-2026")</f>
        <v/>
      </c>
      <c r="X22">
        <f>HYPERLINK("https://klasma.github.io/Logging_0140/kartor/S 495-2026 karta.png", "S 495-2026")</f>
        <v/>
      </c>
      <c r="Y22">
        <f>HYPERLINK("https://klasma.github.io/Logging_0140/kartor_geotiff/S 495-2026 georefererad karta.tif", "S 495-2026")</f>
        <v/>
      </c>
      <c r="Z22">
        <f>HYPERLINK("https://klasma.github.io/Logging_0140/knärot/S 495-2026 karta knärot.png", "S 495-2026")</f>
        <v/>
      </c>
      <c r="AA22">
        <f>HYPERLINK("https://klasma.github.io/Logging_0140/klagomål/S 495-2026 FSC-klagomål.docx", "S 495-2026")</f>
        <v/>
      </c>
      <c r="AB22">
        <f>HYPERLINK("https://klasma.github.io/Logging_0140/klagomålsmail/S 495-2026 FSC-klagomål mail.docx", "S 495-2026")</f>
        <v/>
      </c>
      <c r="AC22">
        <f>HYPERLINK("https://klasma.github.io/Logging_0140/tillsyn/S 495-2026 tillsynsbegäran.docx", "S 495-2026")</f>
        <v/>
      </c>
      <c r="AD22">
        <f>HYPERLINK("https://klasma.github.io/Logging_0140/tillsynsmail/S 495-2026 tillsynsbegäran mail.docx", "S 495-2026")</f>
        <v/>
      </c>
    </row>
    <row r="23" ht="15" customHeight="1">
      <c r="A23" t="inlineStr">
        <is>
          <t>A 12578-2022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44638</v>
      </c>
      <c r="E23" s="1" t="n">
        <v>46229</v>
      </c>
      <c r="F23" t="inlineStr">
        <is>
          <t>STOCKHOLMS LÄN</t>
        </is>
      </c>
      <c r="G23" t="inlineStr">
        <is>
          <t>NYKVARN</t>
        </is>
      </c>
      <c r="I23" t="n">
        <v>2.2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37967-2021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44403</v>
      </c>
      <c r="E24" s="1" t="n">
        <v>46229</v>
      </c>
      <c r="F24" t="inlineStr">
        <is>
          <t>STOCKHOLMS LÄN</t>
        </is>
      </c>
      <c r="G24" t="inlineStr">
        <is>
          <t>NYKVARN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74173-2021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44558</v>
      </c>
      <c r="E25" s="1" t="n">
        <v>46229</v>
      </c>
      <c r="F25" t="inlineStr">
        <is>
          <t>STOCKHOLMS LÄN</t>
        </is>
      </c>
      <c r="G25" t="inlineStr">
        <is>
          <t>NYKVARN</t>
        </is>
      </c>
      <c r="H25" t="inlineStr">
        <is>
          <t>Allmännings- och besparingsskogar</t>
        </is>
      </c>
      <c r="I25" t="n">
        <v>5.5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19608-2022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44693</v>
      </c>
      <c r="E26" s="1" t="n">
        <v>46229</v>
      </c>
      <c r="F26" t="inlineStr">
        <is>
          <t>STOCKHOLMS LÄN</t>
        </is>
      </c>
      <c r="G26" t="inlineStr">
        <is>
          <t>NYKVARN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24656-2022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44726</v>
      </c>
      <c r="E27" s="1" t="n">
        <v>46229</v>
      </c>
      <c r="F27" t="inlineStr">
        <is>
          <t>STOCKHOLMS LÄN</t>
        </is>
      </c>
      <c r="G27" t="inlineStr">
        <is>
          <t>NYKVARN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44531-2022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44840</v>
      </c>
      <c r="E28" s="1" t="n">
        <v>46229</v>
      </c>
      <c r="F28" t="inlineStr">
        <is>
          <t>STOCKHOLMS LÄN</t>
        </is>
      </c>
      <c r="G28" t="inlineStr">
        <is>
          <t>NYKVARN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43922-2021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44434</v>
      </c>
      <c r="E29" s="1" t="n">
        <v>46229</v>
      </c>
      <c r="F29" t="inlineStr">
        <is>
          <t>STOCKHOLMS LÄN</t>
        </is>
      </c>
      <c r="G29" t="inlineStr">
        <is>
          <t>NYKVARN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73212-2021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44550</v>
      </c>
      <c r="E30" s="1" t="n">
        <v>46229</v>
      </c>
      <c r="F30" t="inlineStr">
        <is>
          <t>STOCKHOLMS LÄN</t>
        </is>
      </c>
      <c r="G30" t="inlineStr">
        <is>
          <t>NYKVARN</t>
        </is>
      </c>
      <c r="H30" t="inlineStr">
        <is>
          <t>Allmännings- och besparingsskogar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24281-2022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46229</v>
      </c>
      <c r="F31" t="inlineStr">
        <is>
          <t>STOCKHOLMS LÄN</t>
        </is>
      </c>
      <c r="G31" t="inlineStr">
        <is>
          <t>NYKVARN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46229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46229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46229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22531-2022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44713</v>
      </c>
      <c r="E35" s="1" t="n">
        <v>46229</v>
      </c>
      <c r="F35" t="inlineStr">
        <is>
          <t>STOCKHOLMS LÄN</t>
        </is>
      </c>
      <c r="G35" t="inlineStr">
        <is>
          <t>NYKVARN</t>
        </is>
      </c>
      <c r="H35" t="inlineStr">
        <is>
          <t>Allmännings- och besparingsskogar</t>
        </is>
      </c>
      <c r="I35" t="n">
        <v>10.1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52878-2022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44872</v>
      </c>
      <c r="E36" s="1" t="n">
        <v>46229</v>
      </c>
      <c r="F36" t="inlineStr">
        <is>
          <t>STOCKHOLMS LÄN</t>
        </is>
      </c>
      <c r="G36" t="inlineStr">
        <is>
          <t>NYKVARN</t>
        </is>
      </c>
      <c r="I36" t="n">
        <v>4.5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2172-2024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45309</v>
      </c>
      <c r="E37" s="1" t="n">
        <v>46229</v>
      </c>
      <c r="F37" t="inlineStr">
        <is>
          <t>STOCKHOLMS LÄN</t>
        </is>
      </c>
      <c r="G37" t="inlineStr">
        <is>
          <t>NYKVARN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44969-2022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44841</v>
      </c>
      <c r="E38" s="1" t="n">
        <v>46229</v>
      </c>
      <c r="F38" t="inlineStr">
        <is>
          <t>STOCKHOLMS LÄN</t>
        </is>
      </c>
      <c r="G38" t="inlineStr">
        <is>
          <t>NYKVARN</t>
        </is>
      </c>
      <c r="H38" t="inlineStr">
        <is>
          <t>Sveaskog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51787-2021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44462</v>
      </c>
      <c r="E39" s="1" t="n">
        <v>46229</v>
      </c>
      <c r="F39" t="inlineStr">
        <is>
          <t>STOCKHOLMS LÄN</t>
        </is>
      </c>
      <c r="G39" t="inlineStr">
        <is>
          <t>NYKVARN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53307-2023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45229</v>
      </c>
      <c r="E40" s="1" t="n">
        <v>46229</v>
      </c>
      <c r="F40" t="inlineStr">
        <is>
          <t>STOCKHOLMS LÄN</t>
        </is>
      </c>
      <c r="G40" t="inlineStr">
        <is>
          <t>NYKVARN</t>
        </is>
      </c>
      <c r="H40" t="inlineStr">
        <is>
          <t>Kyrkan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6857-2022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46229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32555-2023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45121</v>
      </c>
      <c r="E42" s="1" t="n">
        <v>46229</v>
      </c>
      <c r="F42" t="inlineStr">
        <is>
          <t>STOCKHOLMS LÄN</t>
        </is>
      </c>
      <c r="G42" t="inlineStr">
        <is>
          <t>NYKVARN</t>
        </is>
      </c>
      <c r="H42" t="inlineStr">
        <is>
          <t>Sveaskog</t>
        </is>
      </c>
      <c r="I42" t="n">
        <v>3.2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60324-2022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44910</v>
      </c>
      <c r="E43" s="1" t="n">
        <v>46229</v>
      </c>
      <c r="F43" t="inlineStr">
        <is>
          <t>STOCKHOLMS LÄN</t>
        </is>
      </c>
      <c r="G43" t="inlineStr">
        <is>
          <t>NYKVARN</t>
        </is>
      </c>
      <c r="H43" t="inlineStr">
        <is>
          <t>Kyrkan</t>
        </is>
      </c>
      <c r="I43" t="n">
        <v>3.5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38535-2025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45884</v>
      </c>
      <c r="E44" s="1" t="n">
        <v>46229</v>
      </c>
      <c r="F44" t="inlineStr">
        <is>
          <t>STOCKHOLMS LÄN</t>
        </is>
      </c>
      <c r="G44" t="inlineStr">
        <is>
          <t>NYKVARN</t>
        </is>
      </c>
      <c r="I44" t="n">
        <v>3.4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43230-2022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44834</v>
      </c>
      <c r="E45" s="1" t="n">
        <v>46229</v>
      </c>
      <c r="F45" t="inlineStr">
        <is>
          <t>STOCKHOLMS LÄN</t>
        </is>
      </c>
      <c r="G45" t="inlineStr">
        <is>
          <t>NYKVARN</t>
        </is>
      </c>
      <c r="H45" t="inlineStr">
        <is>
          <t>Allmännings- och besparingsskogar</t>
        </is>
      </c>
      <c r="I45" t="n">
        <v>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44947-2021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44438</v>
      </c>
      <c r="E46" s="1" t="n">
        <v>46229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11.3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11430-2022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44630</v>
      </c>
      <c r="E47" s="1" t="n">
        <v>46229</v>
      </c>
      <c r="F47" t="inlineStr">
        <is>
          <t>STOCKHOLMS LÄN</t>
        </is>
      </c>
      <c r="G47" t="inlineStr">
        <is>
          <t>NYKVARN</t>
        </is>
      </c>
      <c r="I47" t="n">
        <v>2.3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40168-2023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45169</v>
      </c>
      <c r="E48" s="1" t="n">
        <v>46229</v>
      </c>
      <c r="F48" t="inlineStr">
        <is>
          <t>STOCKHOLMS LÄN</t>
        </is>
      </c>
      <c r="G48" t="inlineStr">
        <is>
          <t>NYKVARN</t>
        </is>
      </c>
      <c r="H48" t="inlineStr">
        <is>
          <t>Sveaskog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41681-2023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45173</v>
      </c>
      <c r="E49" s="1" t="n">
        <v>46229</v>
      </c>
      <c r="F49" t="inlineStr">
        <is>
          <t>STOCKHOLMS LÄN</t>
        </is>
      </c>
      <c r="G49" t="inlineStr">
        <is>
          <t>NYKVARN</t>
        </is>
      </c>
      <c r="I49" t="n">
        <v>4.2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24283-2022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44725</v>
      </c>
      <c r="E50" s="1" t="n">
        <v>46229</v>
      </c>
      <c r="F50" t="inlineStr">
        <is>
          <t>STOCKHOLMS LÄN</t>
        </is>
      </c>
      <c r="G50" t="inlineStr">
        <is>
          <t>NYKVARN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8096-2023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44974</v>
      </c>
      <c r="E51" s="1" t="n">
        <v>46229</v>
      </c>
      <c r="F51" t="inlineStr">
        <is>
          <t>STOCKHOLMS LÄN</t>
        </is>
      </c>
      <c r="G51" t="inlineStr">
        <is>
          <t>NYKVARN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59348-2025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45989</v>
      </c>
      <c r="E52" s="1" t="n">
        <v>46229</v>
      </c>
      <c r="F52" t="inlineStr">
        <is>
          <t>STOCKHOLMS LÄN</t>
        </is>
      </c>
      <c r="G52" t="inlineStr">
        <is>
          <t>NYKVARN</t>
        </is>
      </c>
      <c r="I52" t="n">
        <v>4.9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54583-2023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45233</v>
      </c>
      <c r="E53" s="1" t="n">
        <v>46229</v>
      </c>
      <c r="F53" t="inlineStr">
        <is>
          <t>STOCKHOLMS LÄN</t>
        </is>
      </c>
      <c r="G53" t="inlineStr">
        <is>
          <t>NYKVARN</t>
        </is>
      </c>
      <c r="H53" t="inlineStr">
        <is>
          <t>Kommuner</t>
        </is>
      </c>
      <c r="I53" t="n">
        <v>8.4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54670-2023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45235</v>
      </c>
      <c r="E54" s="1" t="n">
        <v>46229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3.1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17328-2025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45756</v>
      </c>
      <c r="E55" s="1" t="n">
        <v>46229</v>
      </c>
      <c r="F55" t="inlineStr">
        <is>
          <t>STOCKHOLMS LÄN</t>
        </is>
      </c>
      <c r="G55" t="inlineStr">
        <is>
          <t>NYKVARN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56639-2023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45243</v>
      </c>
      <c r="E56" s="1" t="n">
        <v>46229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63400-2023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45274</v>
      </c>
      <c r="E57" s="1" t="n">
        <v>46229</v>
      </c>
      <c r="F57" t="inlineStr">
        <is>
          <t>STOCKHOLMS LÄN</t>
        </is>
      </c>
      <c r="G57" t="inlineStr">
        <is>
          <t>NYKVARN</t>
        </is>
      </c>
      <c r="H57" t="inlineStr">
        <is>
          <t>Kommuner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19487-2023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45050</v>
      </c>
      <c r="E58" s="1" t="n">
        <v>46229</v>
      </c>
      <c r="F58" t="inlineStr">
        <is>
          <t>STOCKHOLMS LÄN</t>
        </is>
      </c>
      <c r="G58" t="inlineStr">
        <is>
          <t>NYKVARN</t>
        </is>
      </c>
      <c r="H58" t="inlineStr">
        <is>
          <t>Sveaskog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18793-2023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45044</v>
      </c>
      <c r="E59" s="1" t="n">
        <v>46229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50020-2023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45215</v>
      </c>
      <c r="E60" s="1" t="n">
        <v>46229</v>
      </c>
      <c r="F60" t="inlineStr">
        <is>
          <t>STOCKHOLMS LÄN</t>
        </is>
      </c>
      <c r="G60" t="inlineStr">
        <is>
          <t>NYKVARN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63586-2023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45275</v>
      </c>
      <c r="E61" s="1" t="n">
        <v>46229</v>
      </c>
      <c r="F61" t="inlineStr">
        <is>
          <t>STOCKHOLMS LÄN</t>
        </is>
      </c>
      <c r="G61" t="inlineStr">
        <is>
          <t>NYKVARN</t>
        </is>
      </c>
      <c r="H61" t="inlineStr">
        <is>
          <t>Kommuner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50031-2023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46229</v>
      </c>
      <c r="F62" t="inlineStr">
        <is>
          <t>STOCKHOLMS LÄN</t>
        </is>
      </c>
      <c r="G62" t="inlineStr">
        <is>
          <t>NYKVARN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44730</v>
      </c>
      <c r="E63" s="1" t="n">
        <v>46229</v>
      </c>
      <c r="F63" t="inlineStr">
        <is>
          <t>STOCKHOLMS LÄN</t>
        </is>
      </c>
      <c r="G63" t="inlineStr">
        <is>
          <t>NYKVARN</t>
        </is>
      </c>
      <c r="I63" t="n">
        <v>3.9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71540-2021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44540</v>
      </c>
      <c r="E64" s="1" t="n">
        <v>46229</v>
      </c>
      <c r="F64" t="inlineStr">
        <is>
          <t>STOCKHOLMS LÄN</t>
        </is>
      </c>
      <c r="G64" t="inlineStr">
        <is>
          <t>NYKVARN</t>
        </is>
      </c>
      <c r="I64" t="n">
        <v>6.7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7926-2023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44973</v>
      </c>
      <c r="E65" s="1" t="n">
        <v>46229</v>
      </c>
      <c r="F65" t="inlineStr">
        <is>
          <t>STOCKHOLMS LÄN</t>
        </is>
      </c>
      <c r="G65" t="inlineStr">
        <is>
          <t>NYKVARN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22529-2022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44713</v>
      </c>
      <c r="E66" s="1" t="n">
        <v>46229</v>
      </c>
      <c r="F66" t="inlineStr">
        <is>
          <t>STOCKHOLMS LÄN</t>
        </is>
      </c>
      <c r="G66" t="inlineStr">
        <is>
          <t>NYKVARN</t>
        </is>
      </c>
      <c r="H66" t="inlineStr">
        <is>
          <t>Allmännings- och besparingsskogar</t>
        </is>
      </c>
      <c r="I66" t="n">
        <v>8.4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24796-2026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46171</v>
      </c>
      <c r="E67" s="1" t="n">
        <v>46229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36986-2025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45874</v>
      </c>
      <c r="E68" s="1" t="n">
        <v>46229</v>
      </c>
      <c r="F68" t="inlineStr">
        <is>
          <t>STOCKHOLMS LÄN</t>
        </is>
      </c>
      <c r="G68" t="inlineStr">
        <is>
          <t>NYKVARN</t>
        </is>
      </c>
      <c r="I68" t="n">
        <v>10.6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46229</v>
      </c>
      <c r="F69" t="inlineStr">
        <is>
          <t>STOCKHOLMS LÄN</t>
        </is>
      </c>
      <c r="G69" t="inlineStr">
        <is>
          <t>NYKVARN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19903-2023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45054</v>
      </c>
      <c r="E70" s="1" t="n">
        <v>46229</v>
      </c>
      <c r="F70" t="inlineStr">
        <is>
          <t>STOCKHOLMS LÄN</t>
        </is>
      </c>
      <c r="G70" t="inlineStr">
        <is>
          <t>NYKVARN</t>
        </is>
      </c>
      <c r="I70" t="n">
        <v>7.2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53337-2023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45229</v>
      </c>
      <c r="E71" s="1" t="n">
        <v>46229</v>
      </c>
      <c r="F71" t="inlineStr">
        <is>
          <t>STOCKHOLMS LÄN</t>
        </is>
      </c>
      <c r="G71" t="inlineStr">
        <is>
          <t>NYKVARN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19217-2026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46132</v>
      </c>
      <c r="E72" s="1" t="n">
        <v>46229</v>
      </c>
      <c r="F72" t="inlineStr">
        <is>
          <t>STOCKHOLMS LÄN</t>
        </is>
      </c>
      <c r="G72" t="inlineStr">
        <is>
          <t>NYKVARN</t>
        </is>
      </c>
      <c r="H72" t="inlineStr">
        <is>
          <t>Sveaskog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31740-2026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46227</v>
      </c>
      <c r="E73" s="1" t="n">
        <v>46229</v>
      </c>
      <c r="F73" t="inlineStr">
        <is>
          <t>STOCKHOLMS LÄN</t>
        </is>
      </c>
      <c r="G73" t="inlineStr">
        <is>
          <t>NYKVARN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31741-2026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46227</v>
      </c>
      <c r="E74" s="1" t="n">
        <v>46229</v>
      </c>
      <c r="F74" t="inlineStr">
        <is>
          <t>STOCKHOLMS LÄN</t>
        </is>
      </c>
      <c r="G74" t="inlineStr">
        <is>
          <t>NYKVARN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31731-2026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46227</v>
      </c>
      <c r="E75" s="1" t="n">
        <v>46229</v>
      </c>
      <c r="F75" t="inlineStr">
        <is>
          <t>STOCKHOLMS LÄN</t>
        </is>
      </c>
      <c r="G75" t="inlineStr">
        <is>
          <t>NYKVARN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51813-2024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45607</v>
      </c>
      <c r="E76" s="1" t="n">
        <v>46229</v>
      </c>
      <c r="F76" t="inlineStr">
        <is>
          <t>STOCKHOLMS LÄN</t>
        </is>
      </c>
      <c r="G76" t="inlineStr">
        <is>
          <t>NYKVARN</t>
        </is>
      </c>
      <c r="H76" t="inlineStr">
        <is>
          <t>Sveaskog</t>
        </is>
      </c>
      <c r="I76" t="n">
        <v>3.1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6854-2022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44602</v>
      </c>
      <c r="E77" s="1" t="n">
        <v>46229</v>
      </c>
      <c r="F77" t="inlineStr">
        <is>
          <t>STOCKHOLMS LÄN</t>
        </is>
      </c>
      <c r="G77" t="inlineStr">
        <is>
          <t>NYKVARN</t>
        </is>
      </c>
      <c r="H77" t="inlineStr">
        <is>
          <t>Kommuner</t>
        </is>
      </c>
      <c r="I77" t="n">
        <v>2.8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63592-2023</t>
        </is>
      </c>
      <c r="B78" t="inlineStr">
        <is>
          <t>avverkningsanmälan</t>
        </is>
      </c>
      <c r="C78" t="inlineStr">
        <is>
          <t>Avverkning för att bevara och utveckla /försöksver</t>
        </is>
      </c>
      <c r="D78" s="1" t="n">
        <v>45275</v>
      </c>
      <c r="E78" s="1" t="n">
        <v>46229</v>
      </c>
      <c r="F78" t="inlineStr">
        <is>
          <t>STOCKHOLMS LÄN</t>
        </is>
      </c>
      <c r="G78" t="inlineStr">
        <is>
          <t>NYKVARN</t>
        </is>
      </c>
      <c r="H78" t="inlineStr">
        <is>
          <t>Kommuner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18222-2025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45761</v>
      </c>
      <c r="E79" s="1" t="n">
        <v>46229</v>
      </c>
      <c r="F79" t="inlineStr">
        <is>
          <t>STOCKHOLMS LÄN</t>
        </is>
      </c>
      <c r="G79" t="inlineStr">
        <is>
          <t>NYKVARN</t>
        </is>
      </c>
      <c r="H79" t="inlineStr">
        <is>
          <t>Sveaskog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52963-2022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44875</v>
      </c>
      <c r="E80" s="1" t="n">
        <v>46229</v>
      </c>
      <c r="F80" t="inlineStr">
        <is>
          <t>STOCKHOLMS LÄN</t>
        </is>
      </c>
      <c r="G80" t="inlineStr">
        <is>
          <t>NYKVARN</t>
        </is>
      </c>
      <c r="H80" t="inlineStr">
        <is>
          <t>Allmännings- och besparingsskogar</t>
        </is>
      </c>
      <c r="I80" t="n">
        <v>1.8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2177-2024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45309</v>
      </c>
      <c r="E81" s="1" t="n">
        <v>46229</v>
      </c>
      <c r="F81" t="inlineStr">
        <is>
          <t>STOCKHOLMS LÄN</t>
        </is>
      </c>
      <c r="G81" t="inlineStr">
        <is>
          <t>NYKVARN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23284-2025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45791</v>
      </c>
      <c r="E82" s="1" t="n">
        <v>46229</v>
      </c>
      <c r="F82" t="inlineStr">
        <is>
          <t>STOCKHOLMS LÄN</t>
        </is>
      </c>
      <c r="G82" t="inlineStr">
        <is>
          <t>NYKVARN</t>
        </is>
      </c>
      <c r="H82" t="inlineStr">
        <is>
          <t>Sveaskog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23655-2025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45792</v>
      </c>
      <c r="E83" s="1" t="n">
        <v>46229</v>
      </c>
      <c r="F83" t="inlineStr">
        <is>
          <t>STOCKHOLMS LÄN</t>
        </is>
      </c>
      <c r="G83" t="inlineStr">
        <is>
          <t>NYKVARN</t>
        </is>
      </c>
      <c r="H83" t="inlineStr">
        <is>
          <t>Sveaskog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S 1582-2024</t>
        </is>
      </c>
      <c r="B84" t="inlineStr">
        <is>
          <t>samrådsanmälan</t>
        </is>
      </c>
      <c r="C84" t="inlineStr">
        <is>
          <t>Annan skogsbruksåtgärd</t>
        </is>
      </c>
      <c r="D84" s="1" t="n">
        <v>45427</v>
      </c>
      <c r="E84" s="1" t="n">
        <v>46229</v>
      </c>
      <c r="F84" t="inlineStr">
        <is>
          <t>STOCKHOLMS LÄN</t>
        </is>
      </c>
      <c r="G84" t="inlineStr">
        <is>
          <t>NYKVARN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>
      <c r="A85" t="inlineStr">
        <is>
          <t>S 710-2025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45720</v>
      </c>
      <c r="E85" s="1" t="n">
        <v>46229</v>
      </c>
      <c r="F85" t="inlineStr">
        <is>
          <t>STOCKHOLMS LÄN</t>
        </is>
      </c>
      <c r="G85" t="inlineStr">
        <is>
          <t>NYKVARN</t>
        </is>
      </c>
      <c r="H85" t="inlineStr">
        <is>
          <t>Sveaskog</t>
        </is>
      </c>
      <c r="I85" t="n">
        <v>0.3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2026-07-26T01:53:44Z</dcterms:created>
  <dcterms:modified xmlns:dcterms="http://purl.org/dc/terms/" xmlns:xsi="http://www.w3.org/2001/XMLSchema-instance" xsi:type="dcterms:W3CDTF">2026-07-26T01:53:44Z</dcterms:modified>
</cp:coreProperties>
</file>