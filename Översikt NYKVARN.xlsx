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46190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46190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46190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46190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46190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46190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46190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17009-2026</t>
        </is>
      </c>
      <c r="B9" s="1" t="n">
        <v>46114.43309027778</v>
      </c>
      <c r="C9" s="1" t="n">
        <v>46190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8.699999999999999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HYPERLINK("https://klasma.github.io/Logging_0140/artfynd/A 17009-2026 artfynd.xlsx", "A 17009-2026")</f>
        <v/>
      </c>
      <c r="T9">
        <f>HYPERLINK("https://klasma.github.io/Logging_0140/kartor/A 17009-2026 karta.png", "A 17009-2026")</f>
        <v/>
      </c>
      <c r="V9">
        <f>HYPERLINK("https://klasma.github.io/Logging_0140/klagomål/A 17009-2026 FSC-klagomål.docx", "A 17009-2026")</f>
        <v/>
      </c>
      <c r="W9">
        <f>HYPERLINK("https://klasma.github.io/Logging_0140/klagomålsmail/A 17009-2026 FSC-klagomål mail.docx", "A 17009-2026")</f>
        <v/>
      </c>
      <c r="X9">
        <f>HYPERLINK("https://klasma.github.io/Logging_0140/tillsyn/A 17009-2026 tillsynsbegäran.docx", "A 17009-2026")</f>
        <v/>
      </c>
      <c r="Y9">
        <f>HYPERLINK("https://klasma.github.io/Logging_0140/tillsynsmail/A 17009-2026 tillsynsbegäran mail.docx", "A 17009-2026")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46190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12578-2022</t>
        </is>
      </c>
      <c r="B11" s="1" t="n">
        <v>44638</v>
      </c>
      <c r="C11" s="1" t="n">
        <v>46190</v>
      </c>
      <c r="D11" t="inlineStr">
        <is>
          <t>STOCKHOLMS LÄN</t>
        </is>
      </c>
      <c r="E11" t="inlineStr">
        <is>
          <t>NYKVARN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37967-2021</t>
        </is>
      </c>
      <c r="B12" s="1" t="n">
        <v>44403</v>
      </c>
      <c r="C12" s="1" t="n">
        <v>46190</v>
      </c>
      <c r="D12" t="inlineStr">
        <is>
          <t>STOCKHOLMS LÄN</t>
        </is>
      </c>
      <c r="E12" t="inlineStr">
        <is>
          <t>NYKVARN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74173-2021</t>
        </is>
      </c>
      <c r="B13" s="1" t="n">
        <v>44558</v>
      </c>
      <c r="C13" s="1" t="n">
        <v>46190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46190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46190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46190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46190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73212-2021</t>
        </is>
      </c>
      <c r="B18" s="1" t="n">
        <v>44550</v>
      </c>
      <c r="C18" s="1" t="n">
        <v>46190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46190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46190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46190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52963-2022</t>
        </is>
      </c>
      <c r="B22" s="1" t="n">
        <v>44875</v>
      </c>
      <c r="C22" s="1" t="n">
        <v>46190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46190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46190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44947-2021</t>
        </is>
      </c>
      <c r="B25" s="1" t="n">
        <v>44438.69939814815</v>
      </c>
      <c r="C25" s="1" t="n">
        <v>46190</v>
      </c>
      <c r="D25" t="inlineStr">
        <is>
          <t>STOCKHOLMS LÄN</t>
        </is>
      </c>
      <c r="E25" t="inlineStr">
        <is>
          <t>NYKVARN</t>
        </is>
      </c>
      <c r="F25" t="inlineStr">
        <is>
          <t>Allmännings- och besparingsskogar</t>
        </is>
      </c>
      <c r="G25" t="n">
        <v>11.3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46190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46190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11430-2022</t>
        </is>
      </c>
      <c r="B28" s="1" t="n">
        <v>44630.5968287037</v>
      </c>
      <c r="C28" s="1" t="n">
        <v>46190</v>
      </c>
      <c r="D28" t="inlineStr">
        <is>
          <t>STOCKHOLMS LÄN</t>
        </is>
      </c>
      <c r="E28" t="inlineStr">
        <is>
          <t>NYKVARN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2177-2024</t>
        </is>
      </c>
      <c r="B29" s="1" t="n">
        <v>45309.64600694444</v>
      </c>
      <c r="C29" s="1" t="n">
        <v>46190</v>
      </c>
      <c r="D29" t="inlineStr">
        <is>
          <t>STOCKHOLMS LÄN</t>
        </is>
      </c>
      <c r="E29" t="inlineStr">
        <is>
          <t>NYKVARN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46190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46190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46190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44969-2022</t>
        </is>
      </c>
      <c r="B33" s="1" t="n">
        <v>44841.58752314815</v>
      </c>
      <c r="C33" s="1" t="n">
        <v>46190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2172-2024</t>
        </is>
      </c>
      <c r="B34" s="1" t="n">
        <v>45309.63112268518</v>
      </c>
      <c r="C34" s="1" t="n">
        <v>46190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46190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41681-2023</t>
        </is>
      </c>
      <c r="B36" s="1" t="n">
        <v>45173</v>
      </c>
      <c r="C36" s="1" t="n">
        <v>46190</v>
      </c>
      <c r="D36" t="inlineStr">
        <is>
          <t>STOCKHOLMS LÄN</t>
        </is>
      </c>
      <c r="E36" t="inlineStr">
        <is>
          <t>NYKVARN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24283-2022</t>
        </is>
      </c>
      <c r="B37" s="1" t="n">
        <v>44725.79453703704</v>
      </c>
      <c r="C37" s="1" t="n">
        <v>46190</v>
      </c>
      <c r="D37" t="inlineStr">
        <is>
          <t>STOCKHOLMS LÄN</t>
        </is>
      </c>
      <c r="E37" t="inlineStr">
        <is>
          <t>NYKVARN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51787-2021</t>
        </is>
      </c>
      <c r="B38" s="1" t="n">
        <v>44462</v>
      </c>
      <c r="C38" s="1" t="n">
        <v>46190</v>
      </c>
      <c r="D38" t="inlineStr">
        <is>
          <t>STOCKHOLMS LÄN</t>
        </is>
      </c>
      <c r="E38" t="inlineStr">
        <is>
          <t>NYKVARN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46190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46190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18848-2024</t>
        </is>
      </c>
      <c r="B41" s="1" t="n">
        <v>45426.68278935185</v>
      </c>
      <c r="C41" s="1" t="n">
        <v>46190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46190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54583-2023</t>
        </is>
      </c>
      <c r="B43" s="1" t="n">
        <v>45233</v>
      </c>
      <c r="C43" s="1" t="n">
        <v>46190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54670-2023</t>
        </is>
      </c>
      <c r="B44" s="1" t="n">
        <v>45235</v>
      </c>
      <c r="C44" s="1" t="n">
        <v>46190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46190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17328-2025</t>
        </is>
      </c>
      <c r="B46" s="1" t="n">
        <v>45756.64081018518</v>
      </c>
      <c r="C46" s="1" t="n">
        <v>46190</v>
      </c>
      <c r="D46" t="inlineStr">
        <is>
          <t>STOCKHOLMS LÄN</t>
        </is>
      </c>
      <c r="E46" t="inlineStr">
        <is>
          <t>NYKVARN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25754-2023</t>
        </is>
      </c>
      <c r="B47" s="1" t="n">
        <v>45084</v>
      </c>
      <c r="C47" s="1" t="n">
        <v>46190</v>
      </c>
      <c r="D47" t="inlineStr">
        <is>
          <t>STOCKHOLMS LÄN</t>
        </is>
      </c>
      <c r="E47" t="inlineStr">
        <is>
          <t>NYKVARN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32555-2023</t>
        </is>
      </c>
      <c r="B48" s="1" t="n">
        <v>45121.43032407408</v>
      </c>
      <c r="C48" s="1" t="n">
        <v>46190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56639-2023</t>
        </is>
      </c>
      <c r="B49" s="1" t="n">
        <v>45243.72300925926</v>
      </c>
      <c r="C49" s="1" t="n">
        <v>46190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60324-2022</t>
        </is>
      </c>
      <c r="B50" s="1" t="n">
        <v>44910.59086805556</v>
      </c>
      <c r="C50" s="1" t="n">
        <v>46190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46190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36986-2025</t>
        </is>
      </c>
      <c r="B52" s="1" t="n">
        <v>45874.65056712963</v>
      </c>
      <c r="C52" s="1" t="n">
        <v>46190</v>
      </c>
      <c r="D52" t="inlineStr">
        <is>
          <t>STOCKHOLMS LÄN</t>
        </is>
      </c>
      <c r="E52" t="inlineStr">
        <is>
          <t>NYKVARN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59342-2025</t>
        </is>
      </c>
      <c r="B53" s="1" t="n">
        <v>45989.38784722222</v>
      </c>
      <c r="C53" s="1" t="n">
        <v>46190</v>
      </c>
      <c r="D53" t="inlineStr">
        <is>
          <t>STOCKHOLMS LÄN</t>
        </is>
      </c>
      <c r="E53" t="inlineStr">
        <is>
          <t>NYKVARN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59348-2025</t>
        </is>
      </c>
      <c r="B54" s="1" t="n">
        <v>45989.40099537037</v>
      </c>
      <c r="C54" s="1" t="n">
        <v>46190</v>
      </c>
      <c r="D54" t="inlineStr">
        <is>
          <t>STOCKHOLMS LÄN</t>
        </is>
      </c>
      <c r="E54" t="inlineStr">
        <is>
          <t>NYKVARN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19487-2023</t>
        </is>
      </c>
      <c r="B55" s="1" t="n">
        <v>45050</v>
      </c>
      <c r="C55" s="1" t="n">
        <v>46190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18793-2023</t>
        </is>
      </c>
      <c r="B56" s="1" t="n">
        <v>45044</v>
      </c>
      <c r="C56" s="1" t="n">
        <v>46190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50020-2023</t>
        </is>
      </c>
      <c r="B57" s="1" t="n">
        <v>45215.46996527778</v>
      </c>
      <c r="C57" s="1" t="n">
        <v>46190</v>
      </c>
      <c r="D57" t="inlineStr">
        <is>
          <t>STOCKHOLMS LÄN</t>
        </is>
      </c>
      <c r="E57" t="inlineStr">
        <is>
          <t>NYKVARN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46190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50031-2023</t>
        </is>
      </c>
      <c r="B59" s="1" t="n">
        <v>45215.48474537037</v>
      </c>
      <c r="C59" s="1" t="n">
        <v>46190</v>
      </c>
      <c r="D59" t="inlineStr">
        <is>
          <t>STOCKHOLMS LÄN</t>
        </is>
      </c>
      <c r="E59" t="inlineStr">
        <is>
          <t>NYKVARN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25278-2022</t>
        </is>
      </c>
      <c r="B60" s="1" t="n">
        <v>44730</v>
      </c>
      <c r="C60" s="1" t="n">
        <v>46190</v>
      </c>
      <c r="D60" t="inlineStr">
        <is>
          <t>STOCKHOLMS LÄN</t>
        </is>
      </c>
      <c r="E60" t="inlineStr">
        <is>
          <t>NYKVARN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71540-2021</t>
        </is>
      </c>
      <c r="B61" s="1" t="n">
        <v>44540</v>
      </c>
      <c r="C61" s="1" t="n">
        <v>46190</v>
      </c>
      <c r="D61" t="inlineStr">
        <is>
          <t>STOCKHOLMS LÄN</t>
        </is>
      </c>
      <c r="E61" t="inlineStr">
        <is>
          <t>NYKVARN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44973.6502662037</v>
      </c>
      <c r="C62" s="1" t="n">
        <v>46190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46190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39539-2023</t>
        </is>
      </c>
      <c r="B64" s="1" t="n">
        <v>45167</v>
      </c>
      <c r="C64" s="1" t="n">
        <v>46190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46190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46190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53337-2023</t>
        </is>
      </c>
      <c r="B67" s="1" t="n">
        <v>45229.63960648148</v>
      </c>
      <c r="C67" s="1" t="n">
        <v>46190</v>
      </c>
      <c r="D67" t="inlineStr">
        <is>
          <t>STOCKHOLMS LÄN</t>
        </is>
      </c>
      <c r="E67" t="inlineStr">
        <is>
          <t>NYKVARN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11045-2026</t>
        </is>
      </c>
      <c r="B68" s="1" t="n">
        <v>46079.58353009259</v>
      </c>
      <c r="C68" s="1" t="n">
        <v>46190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51813-2024</t>
        </is>
      </c>
      <c r="B69" s="1" t="n">
        <v>45607.48734953703</v>
      </c>
      <c r="C69" s="1" t="n">
        <v>46190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15912-2026</t>
        </is>
      </c>
      <c r="B70" s="1" t="n">
        <v>46107.64332175926</v>
      </c>
      <c r="C70" s="1" t="n">
        <v>46190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46190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63592-2023</t>
        </is>
      </c>
      <c r="B72" s="1" t="n">
        <v>45275</v>
      </c>
      <c r="C72" s="1" t="n">
        <v>46190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18780-2026</t>
        </is>
      </c>
      <c r="B73" s="1" t="n">
        <v>46128.58193287037</v>
      </c>
      <c r="C73" s="1" t="n">
        <v>46190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24796-2026</t>
        </is>
      </c>
      <c r="B74" s="1" t="n">
        <v>46171.70856481481</v>
      </c>
      <c r="C74" s="1" t="n">
        <v>46190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19216-2026</t>
        </is>
      </c>
      <c r="B75" s="1" t="n">
        <v>46132.62922453704</v>
      </c>
      <c r="C75" s="1" t="n">
        <v>46190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24790-2026</t>
        </is>
      </c>
      <c r="B76" s="1" t="n">
        <v>46171</v>
      </c>
      <c r="C76" s="1" t="n">
        <v>46190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19217-2026</t>
        </is>
      </c>
      <c r="B77" s="1" t="n">
        <v>46132.63274305555</v>
      </c>
      <c r="C77" s="1" t="n">
        <v>46190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18222-2025</t>
        </is>
      </c>
      <c r="B78" s="1" t="n">
        <v>45761.7321875</v>
      </c>
      <c r="C78" s="1" t="n">
        <v>46190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2026-06-17T09:24:34Z</dcterms:created>
  <dcterms:modified xmlns:dcterms="http://purl.org/dc/terms/" xmlns:xsi="http://www.w3.org/2001/XMLSchema-instance" xsi:type="dcterms:W3CDTF">2026-06-17T09:24:34Z</dcterms:modified>
</cp:coreProperties>
</file>