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46306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46306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46306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46306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46306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46306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46306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46306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46306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46306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11393-2022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44630</v>
      </c>
      <c r="E14" s="1" t="n">
        <v>46306</v>
      </c>
      <c r="F14" t="inlineStr">
        <is>
          <t>STOCKHOLMS LÄN</t>
        </is>
      </c>
      <c r="G14" t="inlineStr">
        <is>
          <t>NYKVARN</t>
        </is>
      </c>
      <c r="I14" t="n">
        <v>3.8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Björksplintborre</t>
        </is>
      </c>
      <c r="W14">
        <f>HYPERLINK("https://klasma.github.io/Logging_0140/artfynd/A 11393-2022 artfynd.xlsx", "A 11393-2022")</f>
        <v/>
      </c>
      <c r="X14">
        <f>HYPERLINK("https://klasma.github.io/Logging_0140/kartor/A 11393-2022 karta.png", "A 11393-2022")</f>
        <v/>
      </c>
      <c r="Y14">
        <f>HYPERLINK("https://klasma.github.io/Logging_0140/kartor_geotiff/A 11393-2022 georefererad karta.tif", "A 11393-2022")</f>
        <v/>
      </c>
      <c r="AA14">
        <f>HYPERLINK("https://klasma.github.io/Logging_0140/klagomål/A 11393-2022 FSC-klagomål.docx", "A 11393-2022")</f>
        <v/>
      </c>
      <c r="AB14">
        <f>HYPERLINK("https://klasma.github.io/Logging_0140/klagomålsmail/A 11393-2022 FSC-klagomål mail.docx", "A 11393-2022")</f>
        <v/>
      </c>
      <c r="AC14">
        <f>HYPERLINK("https://klasma.github.io/Logging_0140/tillsyn/A 11393-2022 tillsynsbegäran.docx", "A 11393-2022")</f>
        <v/>
      </c>
      <c r="AD14">
        <f>HYPERLINK("https://klasma.github.io/Logging_0140/tillsynsmail/A 11393-2022 tillsynsbegäran mail.docx", "A 11393-2022")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46306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46306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11388-2024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45372</v>
      </c>
      <c r="E17" s="1" t="n">
        <v>46306</v>
      </c>
      <c r="F17" t="inlineStr">
        <is>
          <t>STOCKHOLMS LÄN</t>
        </is>
      </c>
      <c r="G17" t="inlineStr">
        <is>
          <t>NYKVARN</t>
        </is>
      </c>
      <c r="I17" t="n">
        <v>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3</v>
      </c>
      <c r="U17" t="n">
        <v>3</v>
      </c>
      <c r="V17" s="2" t="inlineStr">
        <is>
          <t>Igelkott</t>
        </is>
      </c>
      <c r="W17">
        <f>HYPERLINK("https://klasma.github.io/Logging_0140/artfynd/A 11388-2024 artfynd.xlsx", "A 11388-2024")</f>
        <v/>
      </c>
      <c r="X17">
        <f>HYPERLINK("https://klasma.github.io/Logging_0140/kartor/A 11388-2024 karta.png", "A 11388-2024")</f>
        <v/>
      </c>
      <c r="Y17">
        <f>HYPERLINK("https://klasma.github.io/Logging_0140/kartor_geotiff/A 11388-2024 georefererad karta.tif", "A 11388-2024")</f>
        <v/>
      </c>
      <c r="AA17">
        <f>HYPERLINK("https://klasma.github.io/Logging_0140/klagomål/A 11388-2024 FSC-klagomål.docx", "A 11388-2024")</f>
        <v/>
      </c>
      <c r="AB17">
        <f>HYPERLINK("https://klasma.github.io/Logging_0140/klagomålsmail/A 11388-2024 FSC-klagomål mail.docx", "A 11388-2024")</f>
        <v/>
      </c>
      <c r="AC17">
        <f>HYPERLINK("https://klasma.github.io/Logging_0140/tillsyn/A 11388-2024 tillsynsbegäran.docx", "A 11388-2024")</f>
        <v/>
      </c>
      <c r="AD17">
        <f>HYPERLINK("https://klasma.github.io/Logging_0140/tillsynsmail/A 11388-2024 tillsynsbegäran mail.docx", "A 11388-2024")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46306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59342-2025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45989</v>
      </c>
      <c r="E19" s="1" t="n">
        <v>46306</v>
      </c>
      <c r="F19" t="inlineStr">
        <is>
          <t>STOCKHOLMS LÄN</t>
        </is>
      </c>
      <c r="G19" t="inlineStr">
        <is>
          <t>NYKVARN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Kösa</t>
        </is>
      </c>
      <c r="W19">
        <f>HYPERLINK("https://klasma.github.io/Logging_0140/artfynd/A 59342-2025 artfynd.xlsx", "A 59342-2025")</f>
        <v/>
      </c>
      <c r="X19">
        <f>HYPERLINK("https://klasma.github.io/Logging_0140/kartor/A 59342-2025 karta.png", "A 59342-2025")</f>
        <v/>
      </c>
      <c r="Y19">
        <f>HYPERLINK("https://klasma.github.io/Logging_0140/kartor_geotiff/A 59342-2025 georefererad karta.tif", "A 59342-2025")</f>
        <v/>
      </c>
      <c r="AA19">
        <f>HYPERLINK("https://klasma.github.io/Logging_0140/klagomål/A 59342-2025 FSC-klagomål.docx", "A 59342-2025")</f>
        <v/>
      </c>
      <c r="AB19">
        <f>HYPERLINK("https://klasma.github.io/Logging_0140/klagomålsmail/A 59342-2025 FSC-klagomål mail.docx", "A 59342-2025")</f>
        <v/>
      </c>
      <c r="AC19">
        <f>HYPERLINK("https://klasma.github.io/Logging_0140/tillsyn/A 59342-2025 tillsynsbegäran.docx", "A 59342-2025")</f>
        <v/>
      </c>
      <c r="AD19">
        <f>HYPERLINK("https://klasma.github.io/Logging_0140/tillsynsmail/A 59342-2025 tillsynsbegäran mail.docx", "A 59342-2025")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46306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24790-2026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46306</v>
      </c>
      <c r="F21" t="inlineStr">
        <is>
          <t>STOCKHOLMS LÄN</t>
        </is>
      </c>
      <c r="G21" t="inlineStr">
        <is>
          <t>NYKVARN</t>
        </is>
      </c>
      <c r="H21" t="inlineStr">
        <is>
          <t>Kommuner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Kopparödla</t>
        </is>
      </c>
      <c r="W21">
        <f>HYPERLINK("https://klasma.github.io/Logging_0140/artfynd/A 24790-2026 artfynd.xlsx", "A 24790-2026")</f>
        <v/>
      </c>
      <c r="X21">
        <f>HYPERLINK("https://klasma.github.io/Logging_0140/kartor/A 24790-2026 karta.png", "A 24790-2026")</f>
        <v/>
      </c>
      <c r="Y21">
        <f>HYPERLINK("https://klasma.github.io/Logging_0140/kartor_geotiff/A 24790-2026 georefererad karta.tif", "A 24790-2026")</f>
        <v/>
      </c>
      <c r="AA21">
        <f>HYPERLINK("https://klasma.github.io/Logging_0140/klagomål/A 24790-2026 FSC-klagomål.docx", "A 24790-2026")</f>
        <v/>
      </c>
      <c r="AB21">
        <f>HYPERLINK("https://klasma.github.io/Logging_0140/klagomålsmail/A 24790-2026 FSC-klagomål mail.docx", "A 24790-2026")</f>
        <v/>
      </c>
      <c r="AC21">
        <f>HYPERLINK("https://klasma.github.io/Logging_0140/tillsyn/A 24790-2026 tillsynsbegäran.docx", "A 24790-2026")</f>
        <v/>
      </c>
      <c r="AD21">
        <f>HYPERLINK("https://klasma.github.io/Logging_0140/tillsynsmail/A 24790-2026 tillsynsbegäran mail.docx", "A 24790-2026")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46306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46306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46306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46306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46306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46306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46306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46306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46306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46306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46306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46306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46306</v>
      </c>
      <c r="F34" t="inlineStr">
        <is>
          <t>STOCKHOLMS LÄN</t>
        </is>
      </c>
      <c r="G34" t="inlineStr">
        <is>
          <t>NYKVARN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46306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46306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46306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46306</v>
      </c>
      <c r="F38" t="inlineStr">
        <is>
          <t>STOCKHOLMS LÄN</t>
        </is>
      </c>
      <c r="G38" t="inlineStr">
        <is>
          <t>NYKVARN</t>
        </is>
      </c>
      <c r="H38" t="inlineStr">
        <is>
          <t>Kommuner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7926-2023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44973</v>
      </c>
      <c r="E39" s="1" t="n">
        <v>46306</v>
      </c>
      <c r="F39" t="inlineStr">
        <is>
          <t>STOCKHOLMS LÄN</t>
        </is>
      </c>
      <c r="G39" t="inlineStr">
        <is>
          <t>NYKVARN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46306</v>
      </c>
      <c r="F40" t="inlineStr">
        <is>
          <t>STOCKHOLMS LÄN</t>
        </is>
      </c>
      <c r="G40" t="inlineStr">
        <is>
          <t>NYKVARN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19487-2023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45050</v>
      </c>
      <c r="E41" s="1" t="n">
        <v>46306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46306</v>
      </c>
      <c r="F42" t="inlineStr">
        <is>
          <t>STOCKHOLMS LÄN</t>
        </is>
      </c>
      <c r="G42" t="inlineStr">
        <is>
          <t>NYKVARN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43230-2022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46306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44969-2022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44841</v>
      </c>
      <c r="E44" s="1" t="n">
        <v>46306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8096-2023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46306</v>
      </c>
      <c r="F45" t="inlineStr">
        <is>
          <t>STOCKHOLMS LÄN</t>
        </is>
      </c>
      <c r="G45" t="inlineStr">
        <is>
          <t>NYKVARN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46306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38535-2025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45884</v>
      </c>
      <c r="E47" s="1" t="n">
        <v>46306</v>
      </c>
      <c r="F47" t="inlineStr">
        <is>
          <t>STOCKHOLMS LÄN</t>
        </is>
      </c>
      <c r="G47" t="inlineStr">
        <is>
          <t>NYKVARN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46306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63586-2023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45275</v>
      </c>
      <c r="E49" s="1" t="n">
        <v>46306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46306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71540-2021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44540</v>
      </c>
      <c r="E51" s="1" t="n">
        <v>46306</v>
      </c>
      <c r="F51" t="inlineStr">
        <is>
          <t>STOCKHOLMS LÄN</t>
        </is>
      </c>
      <c r="G51" t="inlineStr">
        <is>
          <t>NYKVARN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32555-2023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45121</v>
      </c>
      <c r="E52" s="1" t="n">
        <v>46306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46306</v>
      </c>
      <c r="F53" t="inlineStr">
        <is>
          <t>STOCKHOLMS LÄN</t>
        </is>
      </c>
      <c r="G53" t="inlineStr">
        <is>
          <t>NYKVARN</t>
        </is>
      </c>
      <c r="H53" t="inlineStr">
        <is>
          <t>Kyrkan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46306</v>
      </c>
      <c r="F54" t="inlineStr">
        <is>
          <t>STOCKHOLMS LÄN</t>
        </is>
      </c>
      <c r="G54" t="inlineStr">
        <is>
          <t>NYKVARN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63592-2023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45275</v>
      </c>
      <c r="E55" s="1" t="n">
        <v>46306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23655-2025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46306</v>
      </c>
      <c r="F56" t="inlineStr">
        <is>
          <t>STOCKHOLMS LÄN</t>
        </is>
      </c>
      <c r="G56" t="inlineStr">
        <is>
          <t>NYKVARN</t>
        </is>
      </c>
      <c r="H56" t="inlineStr">
        <is>
          <t>Sveaskog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46306</v>
      </c>
      <c r="F57" t="inlineStr">
        <is>
          <t>STOCKHOLMS LÄN</t>
        </is>
      </c>
      <c r="G57" t="inlineStr">
        <is>
          <t>NYKVARN</t>
        </is>
      </c>
      <c r="H57" t="inlineStr">
        <is>
          <t>Kyrkan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46306</v>
      </c>
      <c r="F58" t="inlineStr">
        <is>
          <t>STOCKHOLMS LÄN</t>
        </is>
      </c>
      <c r="G58" t="inlineStr">
        <is>
          <t>NYKVARN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54670-2023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45235</v>
      </c>
      <c r="E59" s="1" t="n">
        <v>46306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46306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45044</v>
      </c>
      <c r="E61" s="1" t="n">
        <v>46306</v>
      </c>
      <c r="F61" t="inlineStr">
        <is>
          <t>STOCKHOLMS LÄN</t>
        </is>
      </c>
      <c r="G61" t="inlineStr">
        <is>
          <t>NYKVARN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46306</v>
      </c>
      <c r="F62" t="inlineStr">
        <is>
          <t>STOCKHOLMS LÄN</t>
        </is>
      </c>
      <c r="G62" t="inlineStr">
        <is>
          <t>NYKVARN</t>
        </is>
      </c>
      <c r="H62" t="inlineStr">
        <is>
          <t>Allmännings- och besparingsskogar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46306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46306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46306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46306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46306</v>
      </c>
      <c r="F67" t="inlineStr">
        <is>
          <t>STOCKHOLMS LÄN</t>
        </is>
      </c>
      <c r="G67" t="inlineStr">
        <is>
          <t>NYKVARN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45989</v>
      </c>
      <c r="E68" s="1" t="n">
        <v>46306</v>
      </c>
      <c r="F68" t="inlineStr">
        <is>
          <t>STOCKHOLMS LÄN</t>
        </is>
      </c>
      <c r="G68" t="inlineStr">
        <is>
          <t>NYKVARN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44730</v>
      </c>
      <c r="E69" s="1" t="n">
        <v>46306</v>
      </c>
      <c r="F69" t="inlineStr">
        <is>
          <t>STOCKHOLMS LÄN</t>
        </is>
      </c>
      <c r="G69" t="inlineStr">
        <is>
          <t>NYKVARN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46306</v>
      </c>
      <c r="F70" t="inlineStr">
        <is>
          <t>STOCKHOLMS LÄN</t>
        </is>
      </c>
      <c r="G70" t="inlineStr">
        <is>
          <t>NYKVARN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46306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46306</v>
      </c>
      <c r="F72" t="inlineStr">
        <is>
          <t>STOCKHOLMS LÄN</t>
        </is>
      </c>
      <c r="G72" t="inlineStr">
        <is>
          <t>NYKVARN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46306</v>
      </c>
      <c r="F73" t="inlineStr">
        <is>
          <t>STOCKHOLMS LÄN</t>
        </is>
      </c>
      <c r="G73" t="inlineStr">
        <is>
          <t>NYKVARN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46171</v>
      </c>
      <c r="E74" s="1" t="n">
        <v>46306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46306</v>
      </c>
      <c r="F75" t="inlineStr">
        <is>
          <t>STOCKHOLMS LÄN</t>
        </is>
      </c>
      <c r="G75" t="inlineStr">
        <is>
          <t>NYKVARN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46306</v>
      </c>
      <c r="F76" t="inlineStr">
        <is>
          <t>STOCKHOLMS LÄN</t>
        </is>
      </c>
      <c r="G76" t="inlineStr">
        <is>
          <t>NYKVARN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46306</v>
      </c>
      <c r="F77" t="inlineStr">
        <is>
          <t>STOCKHOLMS LÄN</t>
        </is>
      </c>
      <c r="G77" t="inlineStr">
        <is>
          <t>NYKVARN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46306</v>
      </c>
      <c r="F78" t="inlineStr">
        <is>
          <t>STOCKHOLMS LÄN</t>
        </is>
      </c>
      <c r="G78" t="inlineStr">
        <is>
          <t>NYKVARN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46306</v>
      </c>
      <c r="F79" t="inlineStr">
        <is>
          <t>STOCKHOLMS LÄN</t>
        </is>
      </c>
      <c r="G79" t="inlineStr">
        <is>
          <t>NYKVARN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37244-2026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46274</v>
      </c>
      <c r="E80" s="1" t="n">
        <v>46306</v>
      </c>
      <c r="F80" t="inlineStr">
        <is>
          <t>STOCKHOLMS LÄN</t>
        </is>
      </c>
      <c r="G80" t="inlineStr">
        <is>
          <t>NYKVARN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46306</v>
      </c>
      <c r="F81" t="inlineStr">
        <is>
          <t>STOCKHOLMS LÄN</t>
        </is>
      </c>
      <c r="G81" t="inlineStr">
        <is>
          <t>NYKVARN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46306</v>
      </c>
      <c r="F82" t="inlineStr">
        <is>
          <t>STOCKHOLMS LÄN</t>
        </is>
      </c>
      <c r="G82" t="inlineStr">
        <is>
          <t>NYKVARN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46306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36919-2026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46273</v>
      </c>
      <c r="E84" s="1" t="n">
        <v>46306</v>
      </c>
      <c r="F84" t="inlineStr">
        <is>
          <t>STOCKHOLMS LÄN</t>
        </is>
      </c>
      <c r="G84" t="inlineStr">
        <is>
          <t>NYKVARN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37266-2026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46274</v>
      </c>
      <c r="E85" s="1" t="n">
        <v>46306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46306</v>
      </c>
      <c r="F86" t="inlineStr">
        <is>
          <t>STOCKHOLMS LÄN</t>
        </is>
      </c>
      <c r="G86" t="inlineStr">
        <is>
          <t>NYKVARN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46306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46306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46306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2026-10-11T02:02:47Z</dcterms:created>
  <dcterms:modified xmlns:dcterms="http://purl.org/dc/terms/" xmlns:xsi="http://www.w3.org/2001/XMLSchema-instance" xsi:type="dcterms:W3CDTF">2026-10-11T02:02:47Z</dcterms:modified>
</cp:coreProperties>
</file>