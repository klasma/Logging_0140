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46237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46237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46237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39539-2023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45167</v>
      </c>
      <c r="E7" s="1" t="n">
        <v>46237</v>
      </c>
      <c r="F7" t="inlineStr">
        <is>
          <t>STOCKHOLMS LÄN</t>
        </is>
      </c>
      <c r="G7" t="inlineStr">
        <is>
          <t>NYKVARN</t>
        </is>
      </c>
      <c r="I7" t="n">
        <v>2.3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39539-2023 artfynd.xlsx", "A 39539-2023")</f>
        <v/>
      </c>
      <c r="X7">
        <f>HYPERLINK("https://klasma.github.io/Logging_0140/kartor/A 39539-2023 karta.png", "A 39539-2023")</f>
        <v/>
      </c>
      <c r="Y7">
        <f>HYPERLINK("https://klasma.github.io/Logging_0140/kartor_geotiff/A 39539-2023 georefererad karta.tif", "A 39539-2023")</f>
        <v/>
      </c>
      <c r="AA7">
        <f>HYPERLINK("https://klasma.github.io/Logging_0140/klagomål/A 39539-2023 FSC-klagomål.docx", "A 39539-2023")</f>
        <v/>
      </c>
      <c r="AB7">
        <f>HYPERLINK("https://klasma.github.io/Logging_0140/klagomålsmail/A 39539-2023 FSC-klagomål mail.docx", "A 39539-2023")</f>
        <v/>
      </c>
      <c r="AC7">
        <f>HYPERLINK("https://klasma.github.io/Logging_0140/tillsyn/A 39539-2023 tillsynsbegäran.docx", "A 39539-2023")</f>
        <v/>
      </c>
      <c r="AD7">
        <f>HYPERLINK("https://klasma.github.io/Logging_0140/tillsynsmail/A 39539-2023 tillsynsbegäran mail.docx", "A 39539-2023")</f>
        <v/>
      </c>
    </row>
    <row r="8" ht="15" customHeight="1">
      <c r="A8" t="inlineStr">
        <is>
          <t>A 11393-2022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44630</v>
      </c>
      <c r="E8" s="1" t="n">
        <v>46237</v>
      </c>
      <c r="F8" t="inlineStr">
        <is>
          <t>STOCKHOLMS LÄN</t>
        </is>
      </c>
      <c r="G8" t="inlineStr">
        <is>
          <t>NYKVARN</t>
        </is>
      </c>
      <c r="I8" t="n">
        <v>3.8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Björksplintborre</t>
        </is>
      </c>
      <c r="W8">
        <f>HYPERLINK("https://klasma.github.io/Logging_0140/artfynd/A 11393-2022 artfynd.xlsx", "A 11393-2022")</f>
        <v/>
      </c>
      <c r="X8">
        <f>HYPERLINK("https://klasma.github.io/Logging_0140/kartor/A 11393-2022 karta.png", "A 11393-2022")</f>
        <v/>
      </c>
      <c r="Y8">
        <f>HYPERLINK("https://klasma.github.io/Logging_0140/kartor_geotiff/A 11393-2022 georefererad karta.tif", "A 11393-2022")</f>
        <v/>
      </c>
      <c r="AA8">
        <f>HYPERLINK("https://klasma.github.io/Logging_0140/klagomål/A 11393-2022 FSC-klagomål.docx", "A 11393-2022")</f>
        <v/>
      </c>
      <c r="AB8">
        <f>HYPERLINK("https://klasma.github.io/Logging_0140/klagomålsmail/A 11393-2022 FSC-klagomål mail.docx", "A 11393-2022")</f>
        <v/>
      </c>
      <c r="AC8">
        <f>HYPERLINK("https://klasma.github.io/Logging_0140/tillsyn/A 11393-2022 tillsynsbegäran.docx", "A 11393-2022")</f>
        <v/>
      </c>
      <c r="AD8">
        <f>HYPERLINK("https://klasma.github.io/Logging_0140/tillsynsmail/A 11393-2022 tillsynsbegäran mail.docx", "A 11393-2022")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46237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46237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8285-2022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44610</v>
      </c>
      <c r="E11" s="1" t="n">
        <v>46237</v>
      </c>
      <c r="F11" t="inlineStr">
        <is>
          <t>STOCKHOLMS LÄN</t>
        </is>
      </c>
      <c r="G11" t="inlineStr">
        <is>
          <t>NYKVARN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8285-2022 artfynd.xlsx", "A 8285-2022")</f>
        <v/>
      </c>
      <c r="X11">
        <f>HYPERLINK("https://klasma.github.io/Logging_0140/kartor/A 8285-2022 karta.png", "A 8285-2022")</f>
        <v/>
      </c>
      <c r="Y11">
        <f>HYPERLINK("https://klasma.github.io/Logging_0140/kartor_geotiff/A 8285-2022 georefererad karta.tif", "A 8285-2022")</f>
        <v/>
      </c>
      <c r="AA11">
        <f>HYPERLINK("https://klasma.github.io/Logging_0140/klagomål/A 8285-2022 FSC-klagomål.docx", "A 8285-2022")</f>
        <v/>
      </c>
      <c r="AB11">
        <f>HYPERLINK("https://klasma.github.io/Logging_0140/klagomålsmail/A 8285-2022 FSC-klagomål mail.docx", "A 8285-2022")</f>
        <v/>
      </c>
      <c r="AC11">
        <f>HYPERLINK("https://klasma.github.io/Logging_0140/tillsyn/A 8285-2022 tillsynsbegäran.docx", "A 8285-2022")</f>
        <v/>
      </c>
      <c r="AD11">
        <f>HYPERLINK("https://klasma.github.io/Logging_0140/tillsynsmail/A 8285-2022 tillsynsbegäran mail.docx", "A 8285-2022")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46237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46237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46237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46237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46237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46237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46237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Mattlummer</t>
        </is>
      </c>
      <c r="W18">
        <f>HYPERLINK("https://klasma.github.io/Logging_0140/artfynd/A 17009-2026 artfynd.xlsx", "A 17009-2026")</f>
        <v/>
      </c>
      <c r="X18">
        <f>HYPERLINK("https://klasma.github.io/Logging_0140/kartor/A 17009-2026 karta.png", "A 17009-2026")</f>
        <v/>
      </c>
      <c r="Y18">
        <f>HYPERLINK("https://klasma.github.io/Logging_0140/kartor_geotiff/A 17009-2026 georefererad karta.tif", "A 17009-2026")</f>
        <v/>
      </c>
      <c r="AA18">
        <f>HYPERLINK("https://klasma.github.io/Logging_0140/klagomål/A 17009-2026 FSC-klagomål.docx", "A 17009-2026")</f>
        <v/>
      </c>
      <c r="AB18">
        <f>HYPERLINK("https://klasma.github.io/Logging_0140/klagomålsmail/A 17009-2026 FSC-klagomål mail.docx", "A 17009-2026")</f>
        <v/>
      </c>
      <c r="AC18">
        <f>HYPERLINK("https://klasma.github.io/Logging_0140/tillsyn/A 17009-2026 tillsynsbegäran.docx", "A 17009-2026")</f>
        <v/>
      </c>
      <c r="AD18">
        <f>HYPERLINK("https://klasma.github.io/Logging_0140/tillsynsmail/A 17009-2026 tillsynsbegäran mail.docx", "A 17009-2026")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46237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46237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46237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46237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46237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46237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46237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46237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46237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46237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46237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46237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46237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46237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44730</v>
      </c>
      <c r="E33" s="1" t="n">
        <v>46237</v>
      </c>
      <c r="F33" t="inlineStr">
        <is>
          <t>STOCKHOLMS LÄN</t>
        </is>
      </c>
      <c r="G33" t="inlineStr">
        <is>
          <t>NYKVARN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46237</v>
      </c>
      <c r="F34" t="inlineStr">
        <is>
          <t>STOCKHOLMS LÄN</t>
        </is>
      </c>
      <c r="G34" t="inlineStr">
        <is>
          <t>NYKVARN</t>
        </is>
      </c>
      <c r="H34" t="inlineStr">
        <is>
          <t>Sveaskog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46237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46237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46237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46237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46237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71540-2021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44540</v>
      </c>
      <c r="E40" s="1" t="n">
        <v>46237</v>
      </c>
      <c r="F40" t="inlineStr">
        <is>
          <t>STOCKHOLMS LÄN</t>
        </is>
      </c>
      <c r="G40" t="inlineStr">
        <is>
          <t>NYKVARN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46237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46237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46237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46237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46237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8096-2023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46237</v>
      </c>
      <c r="F46" t="inlineStr">
        <is>
          <t>STOCKHOLMS LÄN</t>
        </is>
      </c>
      <c r="G46" t="inlineStr">
        <is>
          <t>NYKVARN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46237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46237</v>
      </c>
      <c r="F48" t="inlineStr">
        <is>
          <t>STOCKHOLMS LÄN</t>
        </is>
      </c>
      <c r="G48" t="inlineStr">
        <is>
          <t>NYKVARN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46237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51813-2024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46237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46237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22529-2022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44713</v>
      </c>
      <c r="E52" s="1" t="n">
        <v>46237</v>
      </c>
      <c r="F52" t="inlineStr">
        <is>
          <t>STOCKHOLMS LÄN</t>
        </is>
      </c>
      <c r="G52" t="inlineStr">
        <is>
          <t>NYKVARN</t>
        </is>
      </c>
      <c r="H52" t="inlineStr">
        <is>
          <t>Allmännings- och besparingsskogar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44872</v>
      </c>
      <c r="E53" s="1" t="n">
        <v>46237</v>
      </c>
      <c r="F53" t="inlineStr">
        <is>
          <t>STOCKHOLMS LÄN</t>
        </is>
      </c>
      <c r="G53" t="inlineStr">
        <is>
          <t>NYKVARN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46237</v>
      </c>
      <c r="F54" t="inlineStr">
        <is>
          <t>STOCKHOLMS LÄN</t>
        </is>
      </c>
      <c r="G54" t="inlineStr">
        <is>
          <t>NYKVARN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45309</v>
      </c>
      <c r="E55" s="1" t="n">
        <v>46237</v>
      </c>
      <c r="F55" t="inlineStr">
        <is>
          <t>STOCKHOLMS LÄN</t>
        </is>
      </c>
      <c r="G55" t="inlineStr">
        <is>
          <t>NYKVARN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51787-2021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46237</v>
      </c>
      <c r="F56" t="inlineStr">
        <is>
          <t>STOCKHOLMS LÄN</t>
        </is>
      </c>
      <c r="G56" t="inlineStr">
        <is>
          <t>NYKVARN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45989</v>
      </c>
      <c r="E57" s="1" t="n">
        <v>46237</v>
      </c>
      <c r="F57" t="inlineStr">
        <is>
          <t>STOCKHOLMS LÄN</t>
        </is>
      </c>
      <c r="G57" t="inlineStr">
        <is>
          <t>NYKVARN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46237</v>
      </c>
      <c r="F58" t="inlineStr">
        <is>
          <t>STOCKHOLMS LÄN</t>
        </is>
      </c>
      <c r="G58" t="inlineStr">
        <is>
          <t>NYKVARN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46237</v>
      </c>
      <c r="F59" t="inlineStr">
        <is>
          <t>STOCKHOLMS LÄN</t>
        </is>
      </c>
      <c r="G59" t="inlineStr">
        <is>
          <t>NYKVARN</t>
        </is>
      </c>
      <c r="H59" t="inlineStr">
        <is>
          <t>Allmännings- och besparingsskogar</t>
        </is>
      </c>
      <c r="I59" t="n">
        <v>11.3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46237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46237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44841</v>
      </c>
      <c r="E62" s="1" t="n">
        <v>46237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46237</v>
      </c>
      <c r="F63" t="inlineStr">
        <is>
          <t>STOCKHOLMS LÄN</t>
        </is>
      </c>
      <c r="G63" t="inlineStr">
        <is>
          <t>NYKVARN</t>
        </is>
      </c>
      <c r="I63" t="n">
        <v>10.6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46237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32555-2023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45121</v>
      </c>
      <c r="E65" s="1" t="n">
        <v>46237</v>
      </c>
      <c r="F65" t="inlineStr">
        <is>
          <t>STOCKHOLMS LÄN</t>
        </is>
      </c>
      <c r="G65" t="inlineStr">
        <is>
          <t>NYKVARN</t>
        </is>
      </c>
      <c r="H65" t="inlineStr">
        <is>
          <t>Sveaskog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63592-2023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45275</v>
      </c>
      <c r="E66" s="1" t="n">
        <v>46237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46237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11430-2022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44630</v>
      </c>
      <c r="E68" s="1" t="n">
        <v>46237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46237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46237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45756</v>
      </c>
      <c r="E71" s="1" t="n">
        <v>46237</v>
      </c>
      <c r="F71" t="inlineStr">
        <is>
          <t>STOCKHOLMS LÄN</t>
        </is>
      </c>
      <c r="G71" t="inlineStr">
        <is>
          <t>NYKVARN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46237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46237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46237</v>
      </c>
      <c r="F74" t="inlineStr">
        <is>
          <t>STOCKHOLMS LÄN</t>
        </is>
      </c>
      <c r="G74" t="inlineStr">
        <is>
          <t>NYKVARN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46237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46237</v>
      </c>
      <c r="F76" t="inlineStr">
        <is>
          <t>STOCKHOLMS LÄN</t>
        </is>
      </c>
      <c r="G76" t="inlineStr">
        <is>
          <t>NYKVARN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46237</v>
      </c>
      <c r="F77" t="inlineStr">
        <is>
          <t>STOCKHOLMS LÄN</t>
        </is>
      </c>
      <c r="G77" t="inlineStr">
        <is>
          <t>NYKVARN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46237</v>
      </c>
      <c r="F78" t="inlineStr">
        <is>
          <t>STOCKHOLMS LÄN</t>
        </is>
      </c>
      <c r="G78" t="inlineStr">
        <is>
          <t>NYKVARN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46237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46237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46237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46237</v>
      </c>
      <c r="F82" t="inlineStr">
        <is>
          <t>STOCKHOLMS LÄN</t>
        </is>
      </c>
      <c r="G82" t="inlineStr">
        <is>
          <t>NYKVARN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46237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46237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2026-08-03T01:55:36Z</dcterms:created>
  <dcterms:modified xmlns:dcterms="http://purl.org/dc/terms/" xmlns:xsi="http://www.w3.org/2001/XMLSchema-instance" xsi:type="dcterms:W3CDTF">2026-08-03T01:55:36Z</dcterms:modified>
</cp:coreProperties>
</file>