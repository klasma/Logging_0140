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46017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46017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46017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46017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46017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46017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46017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46017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37597-2024</t>
        </is>
      </c>
      <c r="B10" s="1" t="n">
        <v>45541.47459490741</v>
      </c>
      <c r="C10" s="1" t="n">
        <v>46017</v>
      </c>
      <c r="D10" t="inlineStr">
        <is>
          <t>STOCKHOLMS LÄN</t>
        </is>
      </c>
      <c r="E10" t="inlineStr">
        <is>
          <t>NYKVARN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 glada</t>
        </is>
      </c>
      <c r="S10">
        <f>HYPERLINK("https://klasma.github.io/Logging_0140/artfynd/A 37597-2024 artfynd.xlsx", "A 37597-2024")</f>
        <v/>
      </c>
      <c r="T10">
        <f>HYPERLINK("https://klasma.github.io/Logging_0140/kartor/A 37597-2024 karta.png", "A 37597-2024")</f>
        <v/>
      </c>
      <c r="V10">
        <f>HYPERLINK("https://klasma.github.io/Logging_0140/klagomål/A 37597-2024 FSC-klagomål.docx", "A 37597-2024")</f>
        <v/>
      </c>
      <c r="W10">
        <f>HYPERLINK("https://klasma.github.io/Logging_0140/klagomålsmail/A 37597-2024 FSC-klagomål mail.docx", "A 37597-2024")</f>
        <v/>
      </c>
      <c r="X10">
        <f>HYPERLINK("https://klasma.github.io/Logging_0140/tillsyn/A 37597-2024 tillsynsbegäran.docx", "A 37597-2024")</f>
        <v/>
      </c>
      <c r="Y10">
        <f>HYPERLINK("https://klasma.github.io/Logging_0140/tillsynsmail/A 37597-2024 tillsynsbegäran mail.docx", "A 37597-2024")</f>
        <v/>
      </c>
      <c r="Z10">
        <f>HYPERLINK("https://klasma.github.io/Logging_0140/fåglar/A 37597-2024 prioriterade fågelarter.docx", "A 37597-2024")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46017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46017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46017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46017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46017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46017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46017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46017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46017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46017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46017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46017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46017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71540-2021</t>
        </is>
      </c>
      <c r="B24" s="1" t="n">
        <v>44540</v>
      </c>
      <c r="C24" s="1" t="n">
        <v>46017</v>
      </c>
      <c r="D24" t="inlineStr">
        <is>
          <t>STOCKHOLMS LÄN</t>
        </is>
      </c>
      <c r="E24" t="inlineStr">
        <is>
          <t>NYKVARN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22531-2022</t>
        </is>
      </c>
      <c r="B25" s="1" t="n">
        <v>44713</v>
      </c>
      <c r="C25" s="1" t="n">
        <v>46017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46017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46017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46017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60324-2022</t>
        </is>
      </c>
      <c r="B29" s="1" t="n">
        <v>44910.59086805556</v>
      </c>
      <c r="C29" s="1" t="n">
        <v>46017</v>
      </c>
      <c r="D29" t="inlineStr">
        <is>
          <t>STOCKHOLMS LÄN</t>
        </is>
      </c>
      <c r="E29" t="inlineStr">
        <is>
          <t>NYKVARN</t>
        </is>
      </c>
      <c r="F29" t="inlineStr">
        <is>
          <t>Kyrkan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32555-2023</t>
        </is>
      </c>
      <c r="B30" s="1" t="n">
        <v>45121.43032407408</v>
      </c>
      <c r="C30" s="1" t="n">
        <v>46017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46017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63592-2023</t>
        </is>
      </c>
      <c r="B32" s="1" t="n">
        <v>45275</v>
      </c>
      <c r="C32" s="1" t="n">
        <v>46017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46017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46017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21913-2021</t>
        </is>
      </c>
      <c r="B35" s="1" t="n">
        <v>44322.75940972222</v>
      </c>
      <c r="C35" s="1" t="n">
        <v>46017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23152-2021</t>
        </is>
      </c>
      <c r="B36" s="1" t="n">
        <v>44332</v>
      </c>
      <c r="C36" s="1" t="n">
        <v>46017</v>
      </c>
      <c r="D36" t="inlineStr">
        <is>
          <t>STOCKHOLMS LÄN</t>
        </is>
      </c>
      <c r="E36" t="inlineStr">
        <is>
          <t>NYKVARN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44969-2022</t>
        </is>
      </c>
      <c r="B37" s="1" t="n">
        <v>44841.58752314815</v>
      </c>
      <c r="C37" s="1" t="n">
        <v>46017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46017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46017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53337-2023</t>
        </is>
      </c>
      <c r="B40" s="1" t="n">
        <v>45229.63960648148</v>
      </c>
      <c r="C40" s="1" t="n">
        <v>46017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46017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54670-2023</t>
        </is>
      </c>
      <c r="B42" s="1" t="n">
        <v>45235</v>
      </c>
      <c r="C42" s="1" t="n">
        <v>46017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40168-2023</t>
        </is>
      </c>
      <c r="B43" s="1" t="n">
        <v>45169.38591435185</v>
      </c>
      <c r="C43" s="1" t="n">
        <v>46017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39539-2023</t>
        </is>
      </c>
      <c r="B44" s="1" t="n">
        <v>45167</v>
      </c>
      <c r="C44" s="1" t="n">
        <v>46017</v>
      </c>
      <c r="D44" t="inlineStr">
        <is>
          <t>STOCKHOLMS LÄN</t>
        </is>
      </c>
      <c r="E44" t="inlineStr">
        <is>
          <t>NYKVARN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46017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45607.48734953703</v>
      </c>
      <c r="C46" s="1" t="n">
        <v>46017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17328-2025</t>
        </is>
      </c>
      <c r="B47" s="1" t="n">
        <v>45756.64081018518</v>
      </c>
      <c r="C47" s="1" t="n">
        <v>46017</v>
      </c>
      <c r="D47" t="inlineStr">
        <is>
          <t>STOCKHOLMS LÄN</t>
        </is>
      </c>
      <c r="E47" t="inlineStr">
        <is>
          <t>NYKVARN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18793-2023</t>
        </is>
      </c>
      <c r="B48" s="1" t="n">
        <v>45044</v>
      </c>
      <c r="C48" s="1" t="n">
        <v>46017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38535-2025</t>
        </is>
      </c>
      <c r="B49" s="1" t="n">
        <v>45884.41943287037</v>
      </c>
      <c r="C49" s="1" t="n">
        <v>46017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46017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46017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63400-2023</t>
        </is>
      </c>
      <c r="B52" s="1" t="n">
        <v>45274</v>
      </c>
      <c r="C52" s="1" t="n">
        <v>46017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46017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19903-2023</t>
        </is>
      </c>
      <c r="B54" s="1" t="n">
        <v>45054</v>
      </c>
      <c r="C54" s="1" t="n">
        <v>46017</v>
      </c>
      <c r="D54" t="inlineStr">
        <is>
          <t>STOCKHOLMS LÄN</t>
        </is>
      </c>
      <c r="E54" t="inlineStr">
        <is>
          <t>NYKVARN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56639-2023</t>
        </is>
      </c>
      <c r="B55" s="1" t="n">
        <v>45243.72300925926</v>
      </c>
      <c r="C55" s="1" t="n">
        <v>46017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50020-2023</t>
        </is>
      </c>
      <c r="B56" s="1" t="n">
        <v>45215.46996527778</v>
      </c>
      <c r="C56" s="1" t="n">
        <v>46017</v>
      </c>
      <c r="D56" t="inlineStr">
        <is>
          <t>STOCKHOLMS LÄN</t>
        </is>
      </c>
      <c r="E56" t="inlineStr">
        <is>
          <t>NYKVARN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46017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36986-2025</t>
        </is>
      </c>
      <c r="B58" s="1" t="n">
        <v>45874.65056712963</v>
      </c>
      <c r="C58" s="1" t="n">
        <v>46017</v>
      </c>
      <c r="D58" t="inlineStr">
        <is>
          <t>STOCKHOLMS LÄN</t>
        </is>
      </c>
      <c r="E58" t="inlineStr">
        <is>
          <t>NYKVARN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46017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46017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44947-2021</t>
        </is>
      </c>
      <c r="B61" s="1" t="n">
        <v>44438.69939814815</v>
      </c>
      <c r="C61" s="1" t="n">
        <v>46017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46017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6854-2022</t>
        </is>
      </c>
      <c r="B63" s="1" t="n">
        <v>44602</v>
      </c>
      <c r="C63" s="1" t="n">
        <v>46017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52878-2022</t>
        </is>
      </c>
      <c r="B64" s="1" t="n">
        <v>44872</v>
      </c>
      <c r="C64" s="1" t="n">
        <v>46017</v>
      </c>
      <c r="D64" t="inlineStr">
        <is>
          <t>STOCKHOLMS LÄN</t>
        </is>
      </c>
      <c r="E64" t="inlineStr">
        <is>
          <t>NYKVARN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24283-2022</t>
        </is>
      </c>
      <c r="B65" s="1" t="n">
        <v>44725.79453703704</v>
      </c>
      <c r="C65" s="1" t="n">
        <v>46017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63586-2023</t>
        </is>
      </c>
      <c r="B66" s="1" t="n">
        <v>45275</v>
      </c>
      <c r="C66" s="1" t="n">
        <v>46017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2172-2024</t>
        </is>
      </c>
      <c r="B67" s="1" t="n">
        <v>45309.63112268518</v>
      </c>
      <c r="C67" s="1" t="n">
        <v>46017</v>
      </c>
      <c r="D67" t="inlineStr">
        <is>
          <t>STOCKHOLMS LÄN</t>
        </is>
      </c>
      <c r="E67" t="inlineStr">
        <is>
          <t>NYKVARN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18222-2025</t>
        </is>
      </c>
      <c r="B68" s="1" t="n">
        <v>45761.7321875</v>
      </c>
      <c r="C68" s="1" t="n">
        <v>46017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46017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59342-2025</t>
        </is>
      </c>
      <c r="B70" s="1" t="n">
        <v>45989.38784722222</v>
      </c>
      <c r="C70" s="1" t="n">
        <v>46017</v>
      </c>
      <c r="D70" t="inlineStr">
        <is>
          <t>STOCKHOLMS LÄN</t>
        </is>
      </c>
      <c r="E70" t="inlineStr">
        <is>
          <t>NYKVARN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59348-2025</t>
        </is>
      </c>
      <c r="B71" s="1" t="n">
        <v>45989.40099537037</v>
      </c>
      <c r="C71" s="1" t="n">
        <v>46017</v>
      </c>
      <c r="D71" t="inlineStr">
        <is>
          <t>STOCKHOLMS LÄN</t>
        </is>
      </c>
      <c r="E71" t="inlineStr">
        <is>
          <t>NYKVARN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46017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2177-2024</t>
        </is>
      </c>
      <c r="B73" s="1" t="n">
        <v>45309.64600694444</v>
      </c>
      <c r="C73" s="1" t="n">
        <v>46017</v>
      </c>
      <c r="D73" t="inlineStr">
        <is>
          <t>STOCKHOLMS LÄN</t>
        </is>
      </c>
      <c r="E73" t="inlineStr">
        <is>
          <t>NYKVARN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23655-2025</t>
        </is>
      </c>
      <c r="B74" s="1" t="n">
        <v>45792</v>
      </c>
      <c r="C74" s="1" t="n">
        <v>46017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23284-2025</t>
        </is>
      </c>
      <c r="B75" s="1" t="n">
        <v>45791.57525462963</v>
      </c>
      <c r="C75" s="1" t="n">
        <v>46017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26755-2025</t>
        </is>
      </c>
      <c r="B76" s="1" t="n">
        <v>45810.55623842592</v>
      </c>
      <c r="C76" s="1" t="n">
        <v>46017</v>
      </c>
      <c r="D76" t="inlineStr">
        <is>
          <t>STOCKHOLMS LÄN</t>
        </is>
      </c>
      <c r="E76" t="inlineStr">
        <is>
          <t>NYKVARN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26763-2025</t>
        </is>
      </c>
      <c r="B77" s="1" t="n">
        <v>45810.56418981482</v>
      </c>
      <c r="C77" s="1" t="n">
        <v>46017</v>
      </c>
      <c r="D77" t="inlineStr">
        <is>
          <t>STOCKHOLMS LÄN</t>
        </is>
      </c>
      <c r="E77" t="inlineStr">
        <is>
          <t>NYKVARN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28607-2025</t>
        </is>
      </c>
      <c r="B78" s="1" t="n">
        <v>45819.60226851852</v>
      </c>
      <c r="C78" s="1" t="n">
        <v>46017</v>
      </c>
      <c r="D78" t="inlineStr">
        <is>
          <t>STOCKHOLMS LÄN</t>
        </is>
      </c>
      <c r="E78" t="inlineStr">
        <is>
          <t>NYKVARN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28598-2025</t>
        </is>
      </c>
      <c r="B79" s="1" t="n">
        <v>45819.59659722223</v>
      </c>
      <c r="C79" s="1" t="n">
        <v>46017</v>
      </c>
      <c r="D79" t="inlineStr">
        <is>
          <t>STOCKHOLMS LÄN</t>
        </is>
      </c>
      <c r="E79" t="inlineStr">
        <is>
          <t>NYKVARN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2025-12-26T09:31:43Z</dcterms:created>
  <dcterms:modified xmlns:dcterms="http://purl.org/dc/terms/" xmlns:xsi="http://www.w3.org/2001/XMLSchema-instance" xsi:type="dcterms:W3CDTF">2025-12-26T09:31:43Z</dcterms:modified>
</cp:coreProperties>
</file>