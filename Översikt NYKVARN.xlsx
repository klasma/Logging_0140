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46230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46230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46230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46230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46230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46230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HYPERLINK("https://klasma.github.io/Logging_0140/artfynd/A 59342-2025 artfynd.xlsx", "A 59342-2025")</f>
        <v/>
      </c>
      <c r="X10">
        <f>HYPERLINK("https://klasma.github.io/Logging_0140/kartor/A 59342-2025 karta.png", "A 59342-2025")</f>
        <v/>
      </c>
      <c r="Y10">
        <f>HYPERLINK("https://klasma.github.io/Logging_0140/kartor_geotiff/A 59342-2025 georefererad karta.tif", "A 59342-2025")</f>
        <v/>
      </c>
      <c r="AA10">
        <f>HYPERLINK("https://klasma.github.io/Logging_0140/klagomål/A 59342-2025 FSC-klagomål.docx", "A 59342-2025")</f>
        <v/>
      </c>
      <c r="AB10">
        <f>HYPERLINK("https://klasma.github.io/Logging_0140/klagomålsmail/A 59342-2025 FSC-klagomål mail.docx", "A 59342-2025")</f>
        <v/>
      </c>
      <c r="AC10">
        <f>HYPERLINK("https://klasma.github.io/Logging_0140/tillsyn/A 59342-2025 tillsynsbegäran.docx", "A 59342-2025")</f>
        <v/>
      </c>
      <c r="AD10">
        <f>HYPERLINK("https://klasma.github.io/Logging_0140/tillsynsmail/A 59342-2025 tillsynsbegäran mail.docx", "A 59342-2025")</f>
        <v/>
      </c>
    </row>
    <row r="11" ht="15" customHeight="1">
      <c r="A11" t="inlineStr">
        <is>
          <t>A 37597-2024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45541</v>
      </c>
      <c r="E11" s="1" t="n">
        <v>46230</v>
      </c>
      <c r="F11" t="inlineStr">
        <is>
          <t>STOCKHOLMS LÄN</t>
        </is>
      </c>
      <c r="G11" t="inlineStr">
        <is>
          <t>NYKVARN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Röd glada</t>
        </is>
      </c>
      <c r="W11">
        <f>HYPERLINK("https://klasma.github.io/Logging_0140/artfynd/A 37597-2024 artfynd.xlsx", "A 37597-2024")</f>
        <v/>
      </c>
      <c r="X11">
        <f>HYPERLINK("https://klasma.github.io/Logging_0140/kartor/A 37597-2024 karta.png", "A 37597-2024")</f>
        <v/>
      </c>
      <c r="Y11">
        <f>HYPERLINK("https://klasma.github.io/Logging_0140/kartor_geotiff/A 37597-2024 georefererad karta.tif", "A 37597-2024")</f>
        <v/>
      </c>
      <c r="AA11">
        <f>HYPERLINK("https://klasma.github.io/Logging_0140/klagomål/A 37597-2024 FSC-klagomål.docx", "A 37597-2024")</f>
        <v/>
      </c>
      <c r="AB11">
        <f>HYPERLINK("https://klasma.github.io/Logging_0140/klagomålsmail/A 37597-2024 FSC-klagomål mail.docx", "A 37597-2024")</f>
        <v/>
      </c>
      <c r="AC11">
        <f>HYPERLINK("https://klasma.github.io/Logging_0140/tillsyn/A 37597-2024 tillsynsbegäran.docx", "A 37597-2024")</f>
        <v/>
      </c>
      <c r="AD11">
        <f>HYPERLINK("https://klasma.github.io/Logging_0140/tillsynsmail/A 37597-2024 tillsynsbegäran mail.docx", "A 37597-2024")</f>
        <v/>
      </c>
      <c r="AE11">
        <f>HYPERLINK("https://klasma.github.io/Logging_0140/fåglar/A 37597-2024 prioriterade fågelarter.docx", "A 37597-2024")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46230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46230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46230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46230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46230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46230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8.699999999999999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Mattlummer</t>
        </is>
      </c>
      <c r="W17">
        <f>HYPERLINK("https://klasma.github.io/Logging_0140/artfynd/A 17009-2026 artfynd.xlsx", "A 17009-2026")</f>
        <v/>
      </c>
      <c r="X17">
        <f>HYPERLINK("https://klasma.github.io/Logging_0140/kartor/A 17009-2026 karta.png", "A 17009-2026")</f>
        <v/>
      </c>
      <c r="Y17">
        <f>HYPERLINK("https://klasma.github.io/Logging_0140/kartor_geotiff/A 17009-2026 georefererad karta.tif", "A 17009-2026")</f>
        <v/>
      </c>
      <c r="AA17">
        <f>HYPERLINK("https://klasma.github.io/Logging_0140/klagomål/A 17009-2026 FSC-klagomål.docx", "A 17009-2026")</f>
        <v/>
      </c>
      <c r="AB17">
        <f>HYPERLINK("https://klasma.github.io/Logging_0140/klagomålsmail/A 17009-2026 FSC-klagomål mail.docx", "A 17009-2026")</f>
        <v/>
      </c>
      <c r="AC17">
        <f>HYPERLINK("https://klasma.github.io/Logging_0140/tillsyn/A 17009-2026 tillsynsbegäran.docx", "A 17009-2026")</f>
        <v/>
      </c>
      <c r="AD17">
        <f>HYPERLINK("https://klasma.github.io/Logging_0140/tillsynsmail/A 17009-2026 tillsynsbegäran mail.docx", "A 17009-2026")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46230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46230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46230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46230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46230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46230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46230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46230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46230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46230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46230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46230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46230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46230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46230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46230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46230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46230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46230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46230</v>
      </c>
      <c r="F39" t="inlineStr">
        <is>
          <t>STOCKHOLMS LÄN</t>
        </is>
      </c>
      <c r="G39" t="inlineStr">
        <is>
          <t>NYKVARN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46230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46230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46230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46230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46230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46230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44947-2021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44438</v>
      </c>
      <c r="E46" s="1" t="n">
        <v>46230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11.3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46230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46230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41681-2023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46230</v>
      </c>
      <c r="F49" t="inlineStr">
        <is>
          <t>STOCKHOLMS LÄN</t>
        </is>
      </c>
      <c r="G49" t="inlineStr">
        <is>
          <t>NYKVARN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46230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46230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46230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46230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46230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46230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46230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46230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46230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46230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46230</v>
      </c>
      <c r="F60" t="inlineStr">
        <is>
          <t>STOCKHOLMS LÄN</t>
        </is>
      </c>
      <c r="G60" t="inlineStr">
        <is>
          <t>NYKVARN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63586-2023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45275</v>
      </c>
      <c r="E61" s="1" t="n">
        <v>46230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46230</v>
      </c>
      <c r="F62" t="inlineStr">
        <is>
          <t>STOCKHOLMS LÄN</t>
        </is>
      </c>
      <c r="G62" t="inlineStr">
        <is>
          <t>NYKVARN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44730</v>
      </c>
      <c r="E63" s="1" t="n">
        <v>46230</v>
      </c>
      <c r="F63" t="inlineStr">
        <is>
          <t>STOCKHOLMS LÄN</t>
        </is>
      </c>
      <c r="G63" t="inlineStr">
        <is>
          <t>NYKVARN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46230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46230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46230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46230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46230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46230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46230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46230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46230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46230</v>
      </c>
      <c r="F73" t="inlineStr">
        <is>
          <t>STOCKHOLMS LÄN</t>
        </is>
      </c>
      <c r="G73" t="inlineStr">
        <is>
          <t>NYKVARN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46230</v>
      </c>
      <c r="F74" t="inlineStr">
        <is>
          <t>STOCKHOLMS LÄN</t>
        </is>
      </c>
      <c r="G74" t="inlineStr">
        <is>
          <t>NYKVARN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46230</v>
      </c>
      <c r="F75" t="inlineStr">
        <is>
          <t>STOCKHOLMS LÄN</t>
        </is>
      </c>
      <c r="G75" t="inlineStr">
        <is>
          <t>NYKVARN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51813-2024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45607</v>
      </c>
      <c r="E76" s="1" t="n">
        <v>46230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46230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63592-2023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45275</v>
      </c>
      <c r="E78" s="1" t="n">
        <v>46230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46230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46230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46230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46230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46230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46230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46230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2026-07-27T01:50:20Z</dcterms:created>
  <dcterms:modified xmlns:dcterms="http://purl.org/dc/terms/" xmlns:xsi="http://www.w3.org/2001/XMLSchema-instance" xsi:type="dcterms:W3CDTF">2026-07-27T01:50:20Z</dcterms:modified>
</cp:coreProperties>
</file>