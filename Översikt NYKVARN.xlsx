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46227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46227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46227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46227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46227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46227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23279-2025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45791</v>
      </c>
      <c r="E8" s="1" t="n">
        <v>46227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0.5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HYPERLINK("https://klasma.github.io/Logging_0140/artfynd/A 23279-2025 artfynd.xlsx", "A 23279-2025")</f>
        <v/>
      </c>
      <c r="X8">
        <f>HYPERLINK("https://klasma.github.io/Logging_0140/kartor/A 23279-2025 karta.png", "A 23279-2025")</f>
        <v/>
      </c>
      <c r="Y8">
        <f>HYPERLINK("https://klasma.github.io/Logging_0140/kartor_geotiff/A 23279-2025 georefererad karta.tif", "A 23279-2025")</f>
        <v/>
      </c>
      <c r="AA8">
        <f>HYPERLINK("https://klasma.github.io/Logging_0140/klagomål/A 23279-2025 FSC-klagomål.docx", "A 23279-2025")</f>
        <v/>
      </c>
      <c r="AB8">
        <f>HYPERLINK("https://klasma.github.io/Logging_0140/klagomålsmail/A 23279-2025 FSC-klagomål mail.docx", "A 23279-2025")</f>
        <v/>
      </c>
      <c r="AC8">
        <f>HYPERLINK("https://klasma.github.io/Logging_0140/tillsyn/A 23279-2025 tillsynsbegäran.docx", "A 23279-2025")</f>
        <v/>
      </c>
      <c r="AD8">
        <f>HYPERLINK("https://klasma.github.io/Logging_0140/tillsynsmail/A 23279-2025 tillsynsbegäran mail.docx", "A 23279-2025")</f>
        <v/>
      </c>
    </row>
    <row r="9" ht="15" customHeight="1">
      <c r="A9" t="inlineStr">
        <is>
          <t>A 39539-2023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45167</v>
      </c>
      <c r="E9" s="1" t="n">
        <v>46227</v>
      </c>
      <c r="F9" t="inlineStr">
        <is>
          <t>STOCKHOLMS LÄN</t>
        </is>
      </c>
      <c r="G9" t="inlineStr">
        <is>
          <t>NYKVARN</t>
        </is>
      </c>
      <c r="I9" t="n">
        <v>2.3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39539-2023 artfynd.xlsx", "A 39539-2023")</f>
        <v/>
      </c>
      <c r="X9">
        <f>HYPERLINK("https://klasma.github.io/Logging_0140/kartor/A 39539-2023 karta.png", "A 39539-2023")</f>
        <v/>
      </c>
      <c r="Y9">
        <f>HYPERLINK("https://klasma.github.io/Logging_0140/kartor_geotiff/A 39539-2023 georefererad karta.tif", "A 39539-2023")</f>
        <v/>
      </c>
      <c r="AA9">
        <f>HYPERLINK("https://klasma.github.io/Logging_0140/klagomål/A 39539-2023 FSC-klagomål.docx", "A 39539-2023")</f>
        <v/>
      </c>
      <c r="AB9">
        <f>HYPERLINK("https://klasma.github.io/Logging_0140/klagomålsmail/A 39539-2023 FSC-klagomål mail.docx", "A 39539-2023")</f>
        <v/>
      </c>
      <c r="AC9">
        <f>HYPERLINK("https://klasma.github.io/Logging_0140/tillsyn/A 39539-2023 tillsynsbegäran.docx", "A 39539-2023")</f>
        <v/>
      </c>
      <c r="AD9">
        <f>HYPERLINK("https://klasma.github.io/Logging_0140/tillsynsmail/A 39539-2023 tillsynsbegäran mail.docx", "A 39539-2023")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46227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11388-2024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45372</v>
      </c>
      <c r="E11" s="1" t="n">
        <v>46227</v>
      </c>
      <c r="F11" t="inlineStr">
        <is>
          <t>STOCKHOLMS LÄN</t>
        </is>
      </c>
      <c r="G11" t="inlineStr">
        <is>
          <t>NYKVARN</t>
        </is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3</v>
      </c>
      <c r="U11" t="n">
        <v>3</v>
      </c>
      <c r="V11" s="2" t="inlineStr">
        <is>
          <t>Igelkott</t>
        </is>
      </c>
      <c r="W11">
        <f>HYPERLINK("https://klasma.github.io/Logging_0140/artfynd/A 11388-2024 artfynd.xlsx", "A 11388-2024")</f>
        <v/>
      </c>
      <c r="X11">
        <f>HYPERLINK("https://klasma.github.io/Logging_0140/kartor/A 11388-2024 karta.png", "A 11388-2024")</f>
        <v/>
      </c>
      <c r="Y11">
        <f>HYPERLINK("https://klasma.github.io/Logging_0140/kartor_geotiff/A 11388-2024 georefererad karta.tif", "A 11388-2024")</f>
        <v/>
      </c>
      <c r="AA11">
        <f>HYPERLINK("https://klasma.github.io/Logging_0140/klagomål/A 11388-2024 FSC-klagomål.docx", "A 11388-2024")</f>
        <v/>
      </c>
      <c r="AB11">
        <f>HYPERLINK("https://klasma.github.io/Logging_0140/klagomålsmail/A 11388-2024 FSC-klagomål mail.docx", "A 11388-2024")</f>
        <v/>
      </c>
      <c r="AC11">
        <f>HYPERLINK("https://klasma.github.io/Logging_0140/tillsyn/A 11388-2024 tillsynsbegäran.docx", "A 11388-2024")</f>
        <v/>
      </c>
      <c r="AD11">
        <f>HYPERLINK("https://klasma.github.io/Logging_0140/tillsynsmail/A 11388-2024 tillsynsbegäran mail.docx", "A 11388-2024")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46227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46227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46227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17009-2026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46227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8.699999999999999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Mattlummer</t>
        </is>
      </c>
      <c r="W15">
        <f>HYPERLINK("https://klasma.github.io/Logging_0140/artfynd/A 17009-2026 artfynd.xlsx", "A 17009-2026")</f>
        <v/>
      </c>
      <c r="X15">
        <f>HYPERLINK("https://klasma.github.io/Logging_0140/kartor/A 17009-2026 karta.png", "A 17009-2026")</f>
        <v/>
      </c>
      <c r="Y15">
        <f>HYPERLINK("https://klasma.github.io/Logging_0140/kartor_geotiff/A 17009-2026 georefererad karta.tif", "A 17009-2026")</f>
        <v/>
      </c>
      <c r="AA15">
        <f>HYPERLINK("https://klasma.github.io/Logging_0140/klagomål/A 17009-2026 FSC-klagomål.docx", "A 17009-2026")</f>
        <v/>
      </c>
      <c r="AB15">
        <f>HYPERLINK("https://klasma.github.io/Logging_0140/klagomålsmail/A 17009-2026 FSC-klagomål mail.docx", "A 17009-2026")</f>
        <v/>
      </c>
      <c r="AC15">
        <f>HYPERLINK("https://klasma.github.io/Logging_0140/tillsyn/A 17009-2026 tillsynsbegäran.docx", "A 17009-2026")</f>
        <v/>
      </c>
      <c r="AD15">
        <f>HYPERLINK("https://klasma.github.io/Logging_0140/tillsynsmail/A 17009-2026 tillsynsbegäran mail.docx", "A 17009-2026")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46227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46227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46227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37597-2024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46227</v>
      </c>
      <c r="F19" t="inlineStr">
        <is>
          <t>STOCKHOLMS LÄN</t>
        </is>
      </c>
      <c r="G19" t="inlineStr">
        <is>
          <t>NYKVARN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 glada</t>
        </is>
      </c>
      <c r="W19">
        <f>HYPERLINK("https://klasma.github.io/Logging_0140/artfynd/A 37597-2024 artfynd.xlsx", "A 37597-2024")</f>
        <v/>
      </c>
      <c r="X19">
        <f>HYPERLINK("https://klasma.github.io/Logging_0140/kartor/A 37597-2024 karta.png", "A 37597-2024")</f>
        <v/>
      </c>
      <c r="Y19">
        <f>HYPERLINK("https://klasma.github.io/Logging_0140/kartor_geotiff/A 37597-2024 georefererad karta.tif", "A 37597-2024")</f>
        <v/>
      </c>
      <c r="AA19">
        <f>HYPERLINK("https://klasma.github.io/Logging_0140/klagomål/A 37597-2024 FSC-klagomål.docx", "A 37597-2024")</f>
        <v/>
      </c>
      <c r="AB19">
        <f>HYPERLINK("https://klasma.github.io/Logging_0140/klagomålsmail/A 37597-2024 FSC-klagomål mail.docx", "A 37597-2024")</f>
        <v/>
      </c>
      <c r="AC19">
        <f>HYPERLINK("https://klasma.github.io/Logging_0140/tillsyn/A 37597-2024 tillsynsbegäran.docx", "A 37597-2024")</f>
        <v/>
      </c>
      <c r="AD19">
        <f>HYPERLINK("https://klasma.github.io/Logging_0140/tillsynsmail/A 37597-2024 tillsynsbegäran mail.docx", "A 37597-2024")</f>
        <v/>
      </c>
      <c r="AE19">
        <f>HYPERLINK("https://klasma.github.io/Logging_0140/fåglar/A 37597-2024 prioriterade fågelarter.docx", "A 37597-2024")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46227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46227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46227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46227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46227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46227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46227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46227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46227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46227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46227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46227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46227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46227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46227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46227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46227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46227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46227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18222-2025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46227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46227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52963-2022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46227</v>
      </c>
      <c r="F41" t="inlineStr">
        <is>
          <t>STOCKHOLMS LÄN</t>
        </is>
      </c>
      <c r="G41" t="inlineStr">
        <is>
          <t>NYKVARN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45309</v>
      </c>
      <c r="E42" s="1" t="n">
        <v>46227</v>
      </c>
      <c r="F42" t="inlineStr">
        <is>
          <t>STOCKHOLMS LÄN</t>
        </is>
      </c>
      <c r="G42" t="inlineStr">
        <is>
          <t>NYKVARN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8096-2023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46227</v>
      </c>
      <c r="F43" t="inlineStr">
        <is>
          <t>STOCKHOLMS LÄN</t>
        </is>
      </c>
      <c r="G43" t="inlineStr">
        <is>
          <t>NYKVARN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45792</v>
      </c>
      <c r="E44" s="1" t="n">
        <v>46227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46227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45169</v>
      </c>
      <c r="E46" s="1" t="n">
        <v>46227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46227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71540-2021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44540</v>
      </c>
      <c r="E48" s="1" t="n">
        <v>46227</v>
      </c>
      <c r="F48" t="inlineStr">
        <is>
          <t>STOCKHOLMS LÄN</t>
        </is>
      </c>
      <c r="G48" t="inlineStr">
        <is>
          <t>NYKVARN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46227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46227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46227</v>
      </c>
      <c r="F51" t="inlineStr">
        <is>
          <t>STOCKHOLMS LÄN</t>
        </is>
      </c>
      <c r="G51" t="inlineStr">
        <is>
          <t>NYKVARN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46227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45235</v>
      </c>
      <c r="E53" s="1" t="n">
        <v>46227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51813-2024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46227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45044</v>
      </c>
      <c r="E55" s="1" t="n">
        <v>46227</v>
      </c>
      <c r="F55" t="inlineStr">
        <is>
          <t>STOCKHOLMS LÄN</t>
        </is>
      </c>
      <c r="G55" t="inlineStr">
        <is>
          <t>NYKVARN</t>
        </is>
      </c>
      <c r="H55" t="inlineStr">
        <is>
          <t>Kyrkan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44713</v>
      </c>
      <c r="E56" s="1" t="n">
        <v>46227</v>
      </c>
      <c r="F56" t="inlineStr">
        <is>
          <t>STOCKHOLMS LÄN</t>
        </is>
      </c>
      <c r="G56" t="inlineStr">
        <is>
          <t>NYKVARN</t>
        </is>
      </c>
      <c r="H56" t="inlineStr">
        <is>
          <t>Allmännings- och besparingsskogar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51787-2021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46227</v>
      </c>
      <c r="F57" t="inlineStr">
        <is>
          <t>STOCKHOLMS LÄN</t>
        </is>
      </c>
      <c r="G57" t="inlineStr">
        <is>
          <t>NYKVARN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46227</v>
      </c>
      <c r="F58" t="inlineStr">
        <is>
          <t>STOCKHOLMS LÄN</t>
        </is>
      </c>
      <c r="G58" t="inlineStr">
        <is>
          <t>NYKVARN</t>
        </is>
      </c>
      <c r="H58" t="inlineStr">
        <is>
          <t>Allmännings- och besparingsskogar</t>
        </is>
      </c>
      <c r="I58" t="n">
        <v>11.3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54583-2023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45233</v>
      </c>
      <c r="E59" s="1" t="n">
        <v>46227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8.4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46227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32555-2023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45121</v>
      </c>
      <c r="E61" s="1" t="n">
        <v>46227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63592-2023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46227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46132</v>
      </c>
      <c r="E63" s="1" t="n">
        <v>46227</v>
      </c>
      <c r="F63" t="inlineStr">
        <is>
          <t>STOCKHOLMS LÄN</t>
        </is>
      </c>
      <c r="G63" t="inlineStr">
        <is>
          <t>NYKVARN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46227</v>
      </c>
      <c r="F64" t="inlineStr">
        <is>
          <t>STOCKHOLMS LÄN</t>
        </is>
      </c>
      <c r="G64" t="inlineStr">
        <is>
          <t>NYKVARN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17328-2025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45756</v>
      </c>
      <c r="E65" s="1" t="n">
        <v>46227</v>
      </c>
      <c r="F65" t="inlineStr">
        <is>
          <t>STOCKHOLMS LÄN</t>
        </is>
      </c>
      <c r="G65" t="inlineStr">
        <is>
          <t>NYKVARN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63400-2023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45274</v>
      </c>
      <c r="E66" s="1" t="n">
        <v>46227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41681-2023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45173</v>
      </c>
      <c r="E67" s="1" t="n">
        <v>46227</v>
      </c>
      <c r="F67" t="inlineStr">
        <is>
          <t>STOCKHOLMS LÄN</t>
        </is>
      </c>
      <c r="G67" t="inlineStr">
        <is>
          <t>NYKVARN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19903-2023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46227</v>
      </c>
      <c r="F68" t="inlineStr">
        <is>
          <t>STOCKHOLMS LÄN</t>
        </is>
      </c>
      <c r="G68" t="inlineStr">
        <is>
          <t>NYKVARN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46227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46227</v>
      </c>
      <c r="F70" t="inlineStr">
        <is>
          <t>STOCKHOLMS LÄN</t>
        </is>
      </c>
      <c r="G70" t="inlineStr">
        <is>
          <t>NYKVARN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44730</v>
      </c>
      <c r="E71" s="1" t="n">
        <v>46227</v>
      </c>
      <c r="F71" t="inlineStr">
        <is>
          <t>STOCKHOLMS LÄN</t>
        </is>
      </c>
      <c r="G71" t="inlineStr">
        <is>
          <t>NYKVARN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46227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46171</v>
      </c>
      <c r="E73" s="1" t="n">
        <v>46227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46227</v>
      </c>
      <c r="F74" t="inlineStr">
        <is>
          <t>STOCKHOLMS LÄN</t>
        </is>
      </c>
      <c r="G74" t="inlineStr">
        <is>
          <t>NYKVARN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46227</v>
      </c>
      <c r="F75" t="inlineStr">
        <is>
          <t>STOCKHOLMS LÄN</t>
        </is>
      </c>
      <c r="G75" t="inlineStr">
        <is>
          <t>NYKVARN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45874</v>
      </c>
      <c r="E76" s="1" t="n">
        <v>46227</v>
      </c>
      <c r="F76" t="inlineStr">
        <is>
          <t>STOCKHOLMS LÄN</t>
        </is>
      </c>
      <c r="G76" t="inlineStr">
        <is>
          <t>NYKVARN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45309</v>
      </c>
      <c r="E77" s="1" t="n">
        <v>46227</v>
      </c>
      <c r="F77" t="inlineStr">
        <is>
          <t>STOCKHOLMS LÄN</t>
        </is>
      </c>
      <c r="G77" t="inlineStr">
        <is>
          <t>NYKVARN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44973</v>
      </c>
      <c r="E78" s="1" t="n">
        <v>46227</v>
      </c>
      <c r="F78" t="inlineStr">
        <is>
          <t>STOCKHOLMS LÄN</t>
        </is>
      </c>
      <c r="G78" t="inlineStr">
        <is>
          <t>NYKVARN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44841</v>
      </c>
      <c r="E79" s="1" t="n">
        <v>46227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46227</v>
      </c>
      <c r="F80" t="inlineStr">
        <is>
          <t>STOCKHOLMS LÄN</t>
        </is>
      </c>
      <c r="G80" t="inlineStr">
        <is>
          <t>NYKVARN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46227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46227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2026-07-24T01:50:32Z</dcterms:created>
  <dcterms:modified xmlns:dcterms="http://purl.org/dc/terms/" xmlns:xsi="http://www.w3.org/2001/XMLSchema-instance" xsi:type="dcterms:W3CDTF">2026-07-24T01:50:33Z</dcterms:modified>
</cp:coreProperties>
</file>