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46036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46036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46036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46036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46036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46036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46036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11393-2022</t>
        </is>
      </c>
      <c r="B10" s="1" t="n">
        <v>44630</v>
      </c>
      <c r="C10" s="1" t="n">
        <v>46036</v>
      </c>
      <c r="D10" t="inlineStr">
        <is>
          <t>STOCKHOLMS LÄN</t>
        </is>
      </c>
      <c r="E10" t="inlineStr">
        <is>
          <t>NYKVARN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HYPERLINK("https://klasma.github.io/Logging_0140/artfynd/A 11393-2022 artfynd.xlsx", "A 11393-2022")</f>
        <v/>
      </c>
      <c r="T10">
        <f>HYPERLINK("https://klasma.github.io/Logging_0140/kartor/A 11393-2022 karta.png", "A 11393-2022")</f>
        <v/>
      </c>
      <c r="V10">
        <f>HYPERLINK("https://klasma.github.io/Logging_0140/klagomål/A 11393-2022 FSC-klagomål.docx", "A 11393-2022")</f>
        <v/>
      </c>
      <c r="W10">
        <f>HYPERLINK("https://klasma.github.io/Logging_0140/klagomålsmail/A 11393-2022 FSC-klagomål mail.docx", "A 11393-2022")</f>
        <v/>
      </c>
      <c r="X10">
        <f>HYPERLINK("https://klasma.github.io/Logging_0140/tillsyn/A 11393-2022 tillsynsbegäran.docx", "A 11393-2022")</f>
        <v/>
      </c>
      <c r="Y10">
        <f>HYPERLINK("https://klasma.github.io/Logging_0140/tillsynsmail/A 11393-2022 tillsynsbegäran mail.docx", "A 11393-2022")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46036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46036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46036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46036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46036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46036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46036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46036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46036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46036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46036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46036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46036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46036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46036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46036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46036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44969-2022</t>
        </is>
      </c>
      <c r="B28" s="1" t="n">
        <v>44841.58752314815</v>
      </c>
      <c r="C28" s="1" t="n">
        <v>46036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2172-2024</t>
        </is>
      </c>
      <c r="B29" s="1" t="n">
        <v>45309.63112268518</v>
      </c>
      <c r="C29" s="1" t="n">
        <v>46036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51787-2021</t>
        </is>
      </c>
      <c r="B30" s="1" t="n">
        <v>44462</v>
      </c>
      <c r="C30" s="1" t="n">
        <v>46036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46036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53307-2023</t>
        </is>
      </c>
      <c r="B32" s="1" t="n">
        <v>45229</v>
      </c>
      <c r="C32" s="1" t="n">
        <v>46036</v>
      </c>
      <c r="D32" t="inlineStr">
        <is>
          <t>STOCKHOLMS LÄN</t>
        </is>
      </c>
      <c r="E32" t="inlineStr">
        <is>
          <t>NYKVARN</t>
        </is>
      </c>
      <c r="F32" t="inlineStr">
        <is>
          <t>Kyrkan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28598-2025</t>
        </is>
      </c>
      <c r="B33" s="1" t="n">
        <v>45819.59659722223</v>
      </c>
      <c r="C33" s="1" t="n">
        <v>46036</v>
      </c>
      <c r="D33" t="inlineStr">
        <is>
          <t>STOCKHOLMS LÄN</t>
        </is>
      </c>
      <c r="E33" t="inlineStr">
        <is>
          <t>NYKVARN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46036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28607-2025</t>
        </is>
      </c>
      <c r="B35" s="1" t="n">
        <v>45819.60226851852</v>
      </c>
      <c r="C35" s="1" t="n">
        <v>46036</v>
      </c>
      <c r="D35" t="inlineStr">
        <is>
          <t>STOCKHOLMS LÄN</t>
        </is>
      </c>
      <c r="E35" t="inlineStr">
        <is>
          <t>NYKVARN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46036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23152-2021</t>
        </is>
      </c>
      <c r="B37" s="1" t="n">
        <v>44332</v>
      </c>
      <c r="C37" s="1" t="n">
        <v>46036</v>
      </c>
      <c r="D37" t="inlineStr">
        <is>
          <t>STOCKHOLMS LÄN</t>
        </is>
      </c>
      <c r="E37" t="inlineStr">
        <is>
          <t>NYKVARN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25754-2023</t>
        </is>
      </c>
      <c r="B38" s="1" t="n">
        <v>45084</v>
      </c>
      <c r="C38" s="1" t="n">
        <v>46036</v>
      </c>
      <c r="D38" t="inlineStr">
        <is>
          <t>STOCKHOLMS LÄN</t>
        </is>
      </c>
      <c r="E38" t="inlineStr">
        <is>
          <t>NYKVARN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32555-2023</t>
        </is>
      </c>
      <c r="B39" s="1" t="n">
        <v>45121.43032407408</v>
      </c>
      <c r="C39" s="1" t="n">
        <v>46036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46036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46036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43230-2022</t>
        </is>
      </c>
      <c r="B42" s="1" t="n">
        <v>44834</v>
      </c>
      <c r="C42" s="1" t="n">
        <v>46036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44947-2021</t>
        </is>
      </c>
      <c r="B43" s="1" t="n">
        <v>44438.69939814815</v>
      </c>
      <c r="C43" s="1" t="n">
        <v>46036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11430-2022</t>
        </is>
      </c>
      <c r="B44" s="1" t="n">
        <v>44630.5968287037</v>
      </c>
      <c r="C44" s="1" t="n">
        <v>46036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20711-2021</t>
        </is>
      </c>
      <c r="B45" s="1" t="n">
        <v>44316</v>
      </c>
      <c r="C45" s="1" t="n">
        <v>46036</v>
      </c>
      <c r="D45" t="inlineStr">
        <is>
          <t>STOCKHOLMS LÄN</t>
        </is>
      </c>
      <c r="E45" t="inlineStr">
        <is>
          <t>NYKVARN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40168-2023</t>
        </is>
      </c>
      <c r="B46" s="1" t="n">
        <v>45169.38591435185</v>
      </c>
      <c r="C46" s="1" t="n">
        <v>46036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46036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44725.79453703704</v>
      </c>
      <c r="C48" s="1" t="n">
        <v>46036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8096-2023</t>
        </is>
      </c>
      <c r="B49" s="1" t="n">
        <v>44974.389375</v>
      </c>
      <c r="C49" s="1" t="n">
        <v>46036</v>
      </c>
      <c r="D49" t="inlineStr">
        <is>
          <t>STOCKHOLMS LÄN</t>
        </is>
      </c>
      <c r="E49" t="inlineStr">
        <is>
          <t>NYKVARN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46036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46036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46036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46036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46036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46036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63400-2023</t>
        </is>
      </c>
      <c r="B56" s="1" t="n">
        <v>45274</v>
      </c>
      <c r="C56" s="1" t="n">
        <v>46036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19487-2023</t>
        </is>
      </c>
      <c r="B57" s="1" t="n">
        <v>45050</v>
      </c>
      <c r="C57" s="1" t="n">
        <v>46036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18793-2023</t>
        </is>
      </c>
      <c r="B58" s="1" t="n">
        <v>45044</v>
      </c>
      <c r="C58" s="1" t="n">
        <v>46036</v>
      </c>
      <c r="D58" t="inlineStr">
        <is>
          <t>STOCKHOLMS LÄN</t>
        </is>
      </c>
      <c r="E58" t="inlineStr">
        <is>
          <t>NYKVARN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50020-2023</t>
        </is>
      </c>
      <c r="B59" s="1" t="n">
        <v>45215.46996527778</v>
      </c>
      <c r="C59" s="1" t="n">
        <v>46036</v>
      </c>
      <c r="D59" t="inlineStr">
        <is>
          <t>STOCKHOLMS LÄN</t>
        </is>
      </c>
      <c r="E59" t="inlineStr">
        <is>
          <t>NYKVARN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46036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50031-2023</t>
        </is>
      </c>
      <c r="B61" s="1" t="n">
        <v>45215.48474537037</v>
      </c>
      <c r="C61" s="1" t="n">
        <v>46036</v>
      </c>
      <c r="D61" t="inlineStr">
        <is>
          <t>STOCKHOLMS LÄN</t>
        </is>
      </c>
      <c r="E61" t="inlineStr">
        <is>
          <t>NYKVARN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25278-2022</t>
        </is>
      </c>
      <c r="B62" s="1" t="n">
        <v>44730</v>
      </c>
      <c r="C62" s="1" t="n">
        <v>46036</v>
      </c>
      <c r="D62" t="inlineStr">
        <is>
          <t>STOCKHOLMS LÄN</t>
        </is>
      </c>
      <c r="E62" t="inlineStr">
        <is>
          <t>NYKVARN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71540-2021</t>
        </is>
      </c>
      <c r="B63" s="1" t="n">
        <v>44540</v>
      </c>
      <c r="C63" s="1" t="n">
        <v>46036</v>
      </c>
      <c r="D63" t="inlineStr">
        <is>
          <t>STOCKHOLMS LÄN</t>
        </is>
      </c>
      <c r="E63" t="inlineStr">
        <is>
          <t>NYKVARN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7926-2023</t>
        </is>
      </c>
      <c r="B64" s="1" t="n">
        <v>44973.6502662037</v>
      </c>
      <c r="C64" s="1" t="n">
        <v>46036</v>
      </c>
      <c r="D64" t="inlineStr">
        <is>
          <t>STOCKHOLMS LÄN</t>
        </is>
      </c>
      <c r="E64" t="inlineStr">
        <is>
          <t>NYKVARN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22529-2022</t>
        </is>
      </c>
      <c r="B65" s="1" t="n">
        <v>44713</v>
      </c>
      <c r="C65" s="1" t="n">
        <v>46036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39539-2023</t>
        </is>
      </c>
      <c r="B66" s="1" t="n">
        <v>45167</v>
      </c>
      <c r="C66" s="1" t="n">
        <v>46036</v>
      </c>
      <c r="D66" t="inlineStr">
        <is>
          <t>STOCKHOLMS LÄN</t>
        </is>
      </c>
      <c r="E66" t="inlineStr">
        <is>
          <t>NYKVARN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46036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46036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53337-2023</t>
        </is>
      </c>
      <c r="B69" s="1" t="n">
        <v>45229.63960648148</v>
      </c>
      <c r="C69" s="1" t="n">
        <v>46036</v>
      </c>
      <c r="D69" t="inlineStr">
        <is>
          <t>STOCKHOLMS LÄN</t>
        </is>
      </c>
      <c r="E69" t="inlineStr">
        <is>
          <t>NYKVARN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51813-2024</t>
        </is>
      </c>
      <c r="B70" s="1" t="n">
        <v>45607.48734953703</v>
      </c>
      <c r="C70" s="1" t="n">
        <v>46036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46036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46036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18222-2025</t>
        </is>
      </c>
      <c r="B73" s="1" t="n">
        <v>45761.7321875</v>
      </c>
      <c r="C73" s="1" t="n">
        <v>46036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52963-2022</t>
        </is>
      </c>
      <c r="B74" s="1" t="n">
        <v>44875</v>
      </c>
      <c r="C74" s="1" t="n">
        <v>46036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45309.64600694444</v>
      </c>
      <c r="C75" s="1" t="n">
        <v>46036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23284-2025</t>
        </is>
      </c>
      <c r="B76" s="1" t="n">
        <v>45791.57525462963</v>
      </c>
      <c r="C76" s="1" t="n">
        <v>46036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23655-2025</t>
        </is>
      </c>
      <c r="B77" s="1" t="n">
        <v>45792</v>
      </c>
      <c r="C77" s="1" t="n">
        <v>46036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26763-2025</t>
        </is>
      </c>
      <c r="B78" s="1" t="n">
        <v>45810.56418981482</v>
      </c>
      <c r="C78" s="1" t="n">
        <v>46036</v>
      </c>
      <c r="D78" t="inlineStr">
        <is>
          <t>STOCKHOLMS LÄN</t>
        </is>
      </c>
      <c r="E78" t="inlineStr">
        <is>
          <t>NYKVARN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26755-2025</t>
        </is>
      </c>
      <c r="B79" s="1" t="n">
        <v>45810.55623842592</v>
      </c>
      <c r="C79" s="1" t="n">
        <v>46036</v>
      </c>
      <c r="D79" t="inlineStr">
        <is>
          <t>STOCKHOLMS LÄN</t>
        </is>
      </c>
      <c r="E79" t="inlineStr">
        <is>
          <t>NYKVARN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2026-01-14T10:54:05Z</dcterms:created>
  <dcterms:modified xmlns:dcterms="http://purl.org/dc/terms/" xmlns:xsi="http://www.w3.org/2001/XMLSchema-instance" xsi:type="dcterms:W3CDTF">2026-01-14T10:54:05Z</dcterms:modified>
</cp:coreProperties>
</file>