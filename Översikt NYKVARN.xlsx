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46294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46294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46294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46294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46294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46294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46294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23279-2025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45791</v>
      </c>
      <c r="E9" s="1" t="n">
        <v>46294</v>
      </c>
      <c r="F9" t="inlineStr">
        <is>
          <t>STOCKHOLMS LÄN</t>
        </is>
      </c>
      <c r="G9" t="inlineStr">
        <is>
          <t>NYKVARN</t>
        </is>
      </c>
      <c r="H9" t="inlineStr">
        <is>
          <t>Sveaskog</t>
        </is>
      </c>
      <c r="I9" t="n">
        <v>0.5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HYPERLINK("https://klasma.github.io/Logging_0140/artfynd/A 23279-2025 artfynd.xlsx", "A 23279-2025")</f>
        <v/>
      </c>
      <c r="X9">
        <f>HYPERLINK("https://klasma.github.io/Logging_0140/kartor/A 23279-2025 karta.png", "A 23279-2025")</f>
        <v/>
      </c>
      <c r="Y9">
        <f>HYPERLINK("https://klasma.github.io/Logging_0140/kartor_geotiff/A 23279-2025 georefererad karta.tif", "A 23279-2025")</f>
        <v/>
      </c>
      <c r="AA9">
        <f>HYPERLINK("https://klasma.github.io/Logging_0140/klagomål/A 23279-2025 FSC-klagomål.docx", "A 23279-2025")</f>
        <v/>
      </c>
      <c r="AB9">
        <f>HYPERLINK("https://klasma.github.io/Logging_0140/klagomålsmail/A 23279-2025 FSC-klagomål mail.docx", "A 23279-2025")</f>
        <v/>
      </c>
      <c r="AC9">
        <f>HYPERLINK("https://klasma.github.io/Logging_0140/tillsyn/A 23279-2025 tillsynsbegäran.docx", "A 23279-2025")</f>
        <v/>
      </c>
      <c r="AD9">
        <f>HYPERLINK("https://klasma.github.io/Logging_0140/tillsynsmail/A 23279-2025 tillsynsbegäran mail.docx", "A 23279-2025")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46294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46294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46294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46294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46294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17009-2026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46294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8.699999999999999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Mattlummer</t>
        </is>
      </c>
      <c r="W15">
        <f>HYPERLINK("https://klasma.github.io/Logging_0140/artfynd/A 17009-2026 artfynd.xlsx", "A 17009-2026")</f>
        <v/>
      </c>
      <c r="X15">
        <f>HYPERLINK("https://klasma.github.io/Logging_0140/kartor/A 17009-2026 karta.png", "A 17009-2026")</f>
        <v/>
      </c>
      <c r="Y15">
        <f>HYPERLINK("https://klasma.github.io/Logging_0140/kartor_geotiff/A 17009-2026 georefererad karta.tif", "A 17009-2026")</f>
        <v/>
      </c>
      <c r="AA15">
        <f>HYPERLINK("https://klasma.github.io/Logging_0140/klagomål/A 17009-2026 FSC-klagomål.docx", "A 17009-2026")</f>
        <v/>
      </c>
      <c r="AB15">
        <f>HYPERLINK("https://klasma.github.io/Logging_0140/klagomålsmail/A 17009-2026 FSC-klagomål mail.docx", "A 17009-2026")</f>
        <v/>
      </c>
      <c r="AC15">
        <f>HYPERLINK("https://klasma.github.io/Logging_0140/tillsyn/A 17009-2026 tillsynsbegäran.docx", "A 17009-2026")</f>
        <v/>
      </c>
      <c r="AD15">
        <f>HYPERLINK("https://klasma.github.io/Logging_0140/tillsynsmail/A 17009-2026 tillsynsbegäran mail.docx", "A 17009-2026")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46294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37597-2024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46294</v>
      </c>
      <c r="F17" t="inlineStr">
        <is>
          <t>STOCKHOLMS LÄN</t>
        </is>
      </c>
      <c r="G17" t="inlineStr">
        <is>
          <t>NYKVARN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HYPERLINK("https://klasma.github.io/Logging_0140/artfynd/A 37597-2024 artfynd.xlsx", "A 37597-2024")</f>
        <v/>
      </c>
      <c r="X17">
        <f>HYPERLINK("https://klasma.github.io/Logging_0140/kartor/A 37597-2024 karta.png", "A 37597-2024")</f>
        <v/>
      </c>
      <c r="Y17">
        <f>HYPERLINK("https://klasma.github.io/Logging_0140/kartor_geotiff/A 37597-2024 georefererad karta.tif", "A 37597-2024")</f>
        <v/>
      </c>
      <c r="AA17">
        <f>HYPERLINK("https://klasma.github.io/Logging_0140/klagomål/A 37597-2024 FSC-klagomål.docx", "A 37597-2024")</f>
        <v/>
      </c>
      <c r="AB17">
        <f>HYPERLINK("https://klasma.github.io/Logging_0140/klagomålsmail/A 37597-2024 FSC-klagomål mail.docx", "A 37597-2024")</f>
        <v/>
      </c>
      <c r="AC17">
        <f>HYPERLINK("https://klasma.github.io/Logging_0140/tillsyn/A 37597-2024 tillsynsbegäran.docx", "A 37597-2024")</f>
        <v/>
      </c>
      <c r="AD17">
        <f>HYPERLINK("https://klasma.github.io/Logging_0140/tillsynsmail/A 37597-2024 tillsynsbegäran mail.docx", "A 37597-2024")</f>
        <v/>
      </c>
      <c r="AE17">
        <f>HYPERLINK("https://klasma.github.io/Logging_0140/fåglar/A 37597-2024 prioriterade fågelarter.docx", "A 37597-2024")</f>
        <v/>
      </c>
    </row>
    <row r="18" ht="15" customHeight="1">
      <c r="A18" t="inlineStr">
        <is>
          <t>A 39539-2023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45167</v>
      </c>
      <c r="E18" s="1" t="n">
        <v>46294</v>
      </c>
      <c r="F18" t="inlineStr">
        <is>
          <t>STOCKHOLMS LÄN</t>
        </is>
      </c>
      <c r="G18" t="inlineStr">
        <is>
          <t>NYKVARN</t>
        </is>
      </c>
      <c r="I18" t="n">
        <v>2.3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HYPERLINK("https://klasma.github.io/Logging_0140/artfynd/A 39539-2023 artfynd.xlsx", "A 39539-2023")</f>
        <v/>
      </c>
      <c r="X18">
        <f>HYPERLINK("https://klasma.github.io/Logging_0140/kartor/A 39539-2023 karta.png", "A 39539-2023")</f>
        <v/>
      </c>
      <c r="Y18">
        <f>HYPERLINK("https://klasma.github.io/Logging_0140/kartor_geotiff/A 39539-2023 georefererad karta.tif", "A 39539-2023")</f>
        <v/>
      </c>
      <c r="AA18">
        <f>HYPERLINK("https://klasma.github.io/Logging_0140/klagomål/A 39539-2023 FSC-klagomål.docx", "A 39539-2023")</f>
        <v/>
      </c>
      <c r="AB18">
        <f>HYPERLINK("https://klasma.github.io/Logging_0140/klagomålsmail/A 39539-2023 FSC-klagomål mail.docx", "A 39539-2023")</f>
        <v/>
      </c>
      <c r="AC18">
        <f>HYPERLINK("https://klasma.github.io/Logging_0140/tillsyn/A 39539-2023 tillsynsbegäran.docx", "A 39539-2023")</f>
        <v/>
      </c>
      <c r="AD18">
        <f>HYPERLINK("https://klasma.github.io/Logging_0140/tillsynsmail/A 39539-2023 tillsynsbegäran mail.docx", "A 39539-2023")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46294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46294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11393-2022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44630</v>
      </c>
      <c r="E21" s="1" t="n">
        <v>46294</v>
      </c>
      <c r="F21" t="inlineStr">
        <is>
          <t>STOCKHOLMS LÄN</t>
        </is>
      </c>
      <c r="G21" t="inlineStr">
        <is>
          <t>NYKVARN</t>
        </is>
      </c>
      <c r="I21" t="n">
        <v>3.8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HYPERLINK("https://klasma.github.io/Logging_0140/artfynd/A 11393-2022 artfynd.xlsx", "A 11393-2022")</f>
        <v/>
      </c>
      <c r="X21">
        <f>HYPERLINK("https://klasma.github.io/Logging_0140/kartor/A 11393-2022 karta.png", "A 11393-2022")</f>
        <v/>
      </c>
      <c r="Y21">
        <f>HYPERLINK("https://klasma.github.io/Logging_0140/kartor_geotiff/A 11393-2022 georefererad karta.tif", "A 11393-2022")</f>
        <v/>
      </c>
      <c r="AA21">
        <f>HYPERLINK("https://klasma.github.io/Logging_0140/klagomål/A 11393-2022 FSC-klagomål.docx", "A 11393-2022")</f>
        <v/>
      </c>
      <c r="AB21">
        <f>HYPERLINK("https://klasma.github.io/Logging_0140/klagomålsmail/A 11393-2022 FSC-klagomål mail.docx", "A 11393-2022")</f>
        <v/>
      </c>
      <c r="AC21">
        <f>HYPERLINK("https://klasma.github.io/Logging_0140/tillsyn/A 11393-2022 tillsynsbegäran.docx", "A 11393-2022")</f>
        <v/>
      </c>
      <c r="AD21">
        <f>HYPERLINK("https://klasma.github.io/Logging_0140/tillsynsmail/A 11393-2022 tillsynsbegäran mail.docx", "A 11393-2022")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46294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46294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46294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46294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46294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46294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46294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46294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46294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46294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46294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46294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46294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46294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46294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46294</v>
      </c>
      <c r="F37" t="inlineStr">
        <is>
          <t>STOCKHOLMS LÄN</t>
        </is>
      </c>
      <c r="G37" t="inlineStr">
        <is>
          <t>NYKVARN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46294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46294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44969-2022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44841</v>
      </c>
      <c r="E40" s="1" t="n">
        <v>46294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45309</v>
      </c>
      <c r="E41" s="1" t="n">
        <v>46294</v>
      </c>
      <c r="F41" t="inlineStr">
        <is>
          <t>STOCKHOLMS LÄN</t>
        </is>
      </c>
      <c r="G41" t="inlineStr">
        <is>
          <t>NYKVARN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46294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46294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46294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46294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45989</v>
      </c>
      <c r="E46" s="1" t="n">
        <v>46294</v>
      </c>
      <c r="F46" t="inlineStr">
        <is>
          <t>STOCKHOLMS LÄN</t>
        </is>
      </c>
      <c r="G46" t="inlineStr">
        <is>
          <t>NYKVARN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44834</v>
      </c>
      <c r="E47" s="1" t="n">
        <v>46294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46294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46294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41681-2023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45173</v>
      </c>
      <c r="E50" s="1" t="n">
        <v>46294</v>
      </c>
      <c r="F50" t="inlineStr">
        <is>
          <t>STOCKHOLMS LÄN</t>
        </is>
      </c>
      <c r="G50" t="inlineStr">
        <is>
          <t>NYKVARN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46294</v>
      </c>
      <c r="F51" t="inlineStr">
        <is>
          <t>STOCKHOLMS LÄN</t>
        </is>
      </c>
      <c r="G51" t="inlineStr">
        <is>
          <t>NYKVARN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46294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46294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19217-2026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46294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46294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46294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17328-2025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45756</v>
      </c>
      <c r="E57" s="1" t="n">
        <v>46294</v>
      </c>
      <c r="F57" t="inlineStr">
        <is>
          <t>STOCKHOLMS LÄN</t>
        </is>
      </c>
      <c r="G57" t="inlineStr">
        <is>
          <t>NYKVARN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46294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46294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19487-2023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45050</v>
      </c>
      <c r="E60" s="1" t="n">
        <v>46294</v>
      </c>
      <c r="F60" t="inlineStr">
        <is>
          <t>STOCKHOLMS LÄN</t>
        </is>
      </c>
      <c r="G60" t="inlineStr">
        <is>
          <t>NYKVARN</t>
        </is>
      </c>
      <c r="H60" t="inlineStr">
        <is>
          <t>Sveaskog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45044</v>
      </c>
      <c r="E61" s="1" t="n">
        <v>46294</v>
      </c>
      <c r="F61" t="inlineStr">
        <is>
          <t>STOCKHOLMS LÄN</t>
        </is>
      </c>
      <c r="G61" t="inlineStr">
        <is>
          <t>NYKVARN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46294</v>
      </c>
      <c r="F62" t="inlineStr">
        <is>
          <t>STOCKHOLMS LÄN</t>
        </is>
      </c>
      <c r="G62" t="inlineStr">
        <is>
          <t>NYKVARN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63586-2023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45275</v>
      </c>
      <c r="E63" s="1" t="n">
        <v>46294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46294</v>
      </c>
      <c r="F64" t="inlineStr">
        <is>
          <t>STOCKHOLMS LÄN</t>
        </is>
      </c>
      <c r="G64" t="inlineStr">
        <is>
          <t>NYKVARN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44730</v>
      </c>
      <c r="E65" s="1" t="n">
        <v>46294</v>
      </c>
      <c r="F65" t="inlineStr">
        <is>
          <t>STOCKHOLMS LÄN</t>
        </is>
      </c>
      <c r="G65" t="inlineStr">
        <is>
          <t>NYKVARN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71540-2021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44540</v>
      </c>
      <c r="E66" s="1" t="n">
        <v>46294</v>
      </c>
      <c r="F66" t="inlineStr">
        <is>
          <t>STOCKHOLMS LÄN</t>
        </is>
      </c>
      <c r="G66" t="inlineStr">
        <is>
          <t>NYKVARN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44973</v>
      </c>
      <c r="E67" s="1" t="n">
        <v>46294</v>
      </c>
      <c r="F67" t="inlineStr">
        <is>
          <t>STOCKHOLMS LÄN</t>
        </is>
      </c>
      <c r="G67" t="inlineStr">
        <is>
          <t>NYKVARN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44713</v>
      </c>
      <c r="E68" s="1" t="n">
        <v>46294</v>
      </c>
      <c r="F68" t="inlineStr">
        <is>
          <t>STOCKHOLMS LÄN</t>
        </is>
      </c>
      <c r="G68" t="inlineStr">
        <is>
          <t>NYKVARN</t>
        </is>
      </c>
      <c r="H68" t="inlineStr">
        <is>
          <t>Allmännings- och besparingsskogar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24796-2026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46171</v>
      </c>
      <c r="E69" s="1" t="n">
        <v>46294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45874</v>
      </c>
      <c r="E70" s="1" t="n">
        <v>46294</v>
      </c>
      <c r="F70" t="inlineStr">
        <is>
          <t>STOCKHOLMS LÄN</t>
        </is>
      </c>
      <c r="G70" t="inlineStr">
        <is>
          <t>NYKVARN</t>
        </is>
      </c>
      <c r="I70" t="n">
        <v>10.6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46294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46294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46294</v>
      </c>
      <c r="F73" t="inlineStr">
        <is>
          <t>STOCKHOLMS LÄN</t>
        </is>
      </c>
      <c r="G73" t="inlineStr">
        <is>
          <t>NYKVARN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46294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63592-2023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45275</v>
      </c>
      <c r="E75" s="1" t="n">
        <v>46294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46294</v>
      </c>
      <c r="F76" t="inlineStr">
        <is>
          <t>STOCKHOLMS LÄN</t>
        </is>
      </c>
      <c r="G76" t="inlineStr">
        <is>
          <t>NYKVARN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46294</v>
      </c>
      <c r="F77" t="inlineStr">
        <is>
          <t>STOCKHOLMS LÄN</t>
        </is>
      </c>
      <c r="G77" t="inlineStr">
        <is>
          <t>NYKVARN</t>
        </is>
      </c>
      <c r="I77" t="n">
        <v>9.300000000000001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46273</v>
      </c>
      <c r="E78" s="1" t="n">
        <v>46294</v>
      </c>
      <c r="F78" t="inlineStr">
        <is>
          <t>STOCKHOLMS LÄN</t>
        </is>
      </c>
      <c r="G78" t="inlineStr">
        <is>
          <t>NYKVARN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46294</v>
      </c>
      <c r="F79" t="inlineStr">
        <is>
          <t>STOCKHOLMS LÄN</t>
        </is>
      </c>
      <c r="G79" t="inlineStr">
        <is>
          <t>NYKVARN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46294</v>
      </c>
      <c r="F80" t="inlineStr">
        <is>
          <t>STOCKHOLMS LÄN</t>
        </is>
      </c>
      <c r="G80" t="inlineStr">
        <is>
          <t>NYKVARN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46294</v>
      </c>
      <c r="F81" t="inlineStr">
        <is>
          <t>STOCKHOLMS LÄN</t>
        </is>
      </c>
      <c r="G81" t="inlineStr">
        <is>
          <t>NYKVARN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46294</v>
      </c>
      <c r="F82" t="inlineStr">
        <is>
          <t>STOCKHOLMS LÄN</t>
        </is>
      </c>
      <c r="G82" t="inlineStr">
        <is>
          <t>NYKVARN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37244-2026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46274</v>
      </c>
      <c r="E83" s="1" t="n">
        <v>46294</v>
      </c>
      <c r="F83" t="inlineStr">
        <is>
          <t>STOCKHOLMS LÄN</t>
        </is>
      </c>
      <c r="G83" t="inlineStr">
        <is>
          <t>NYKVARN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37266-2026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46274</v>
      </c>
      <c r="E84" s="1" t="n">
        <v>46294</v>
      </c>
      <c r="F84" t="inlineStr">
        <is>
          <t>STOCKHOLMS LÄN</t>
        </is>
      </c>
      <c r="G84" t="inlineStr">
        <is>
          <t>NYKVARN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46294</v>
      </c>
      <c r="F85" t="inlineStr">
        <is>
          <t>STOCKHOLMS LÄN</t>
        </is>
      </c>
      <c r="G85" t="inlineStr">
        <is>
          <t>NYKVARN</t>
        </is>
      </c>
      <c r="H85" t="inlineStr">
        <is>
          <t>Allmännings- och besparingsskogar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46294</v>
      </c>
      <c r="F86" t="inlineStr">
        <is>
          <t>STOCKHOLMS LÄN</t>
        </is>
      </c>
      <c r="G86" t="inlineStr">
        <is>
          <t>NYKVARN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46294</v>
      </c>
      <c r="F87" t="inlineStr">
        <is>
          <t>STOCKHOLMS LÄN</t>
        </is>
      </c>
      <c r="G87" t="inlineStr">
        <is>
          <t>NYKVARN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46294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46294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2026-09-29T02:01:09Z</dcterms:created>
  <dcterms:modified xmlns:dcterms="http://purl.org/dc/terms/" xmlns:xsi="http://www.w3.org/2001/XMLSchema-instance" xsi:type="dcterms:W3CDTF">2026-09-29T02:01:09Z</dcterms:modified>
</cp:coreProperties>
</file>