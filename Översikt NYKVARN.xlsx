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46079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46079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46079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46079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46079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46079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46079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57389-2024</t>
        </is>
      </c>
      <c r="B13" s="1" t="n">
        <v>45629.68615740741</v>
      </c>
      <c r="C13" s="1" t="n">
        <v>46079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HYPERLINK("https://klasma.github.io/Logging_0140/artfynd/A 57389-2024 artfynd.xlsx", "A 57389-2024")</f>
        <v/>
      </c>
      <c r="T13">
        <f>HYPERLINK("https://klasma.github.io/Logging_0140/kartor/A 57389-2024 karta.png", "A 57389-2024")</f>
        <v/>
      </c>
      <c r="V13">
        <f>HYPERLINK("https://klasma.github.io/Logging_0140/klagomål/A 57389-2024 FSC-klagomål.docx", "A 57389-2024")</f>
        <v/>
      </c>
      <c r="W13">
        <f>HYPERLINK("https://klasma.github.io/Logging_0140/klagomålsmail/A 57389-2024 FSC-klagomål mail.docx", "A 57389-2024")</f>
        <v/>
      </c>
      <c r="X13">
        <f>HYPERLINK("https://klasma.github.io/Logging_0140/tillsyn/A 57389-2024 tillsynsbegäran.docx", "A 57389-2024")</f>
        <v/>
      </c>
      <c r="Y13">
        <f>HYPERLINK("https://klasma.github.io/Logging_0140/tillsynsmail/A 57389-2024 tillsynsbegäran mail.docx", "A 57389-2024")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46079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46079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46079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19608-2022</t>
        </is>
      </c>
      <c r="B20" s="1" t="n">
        <v>44693.96278935186</v>
      </c>
      <c r="C20" s="1" t="n">
        <v>46079</v>
      </c>
      <c r="D20" t="inlineStr">
        <is>
          <t>STOCKHOLMS LÄN</t>
        </is>
      </c>
      <c r="E20" t="inlineStr">
        <is>
          <t>NYKVARN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46079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24656-2022</t>
        </is>
      </c>
      <c r="B22" s="1" t="n">
        <v>44726</v>
      </c>
      <c r="C22" s="1" t="n">
        <v>46079</v>
      </c>
      <c r="D22" t="inlineStr">
        <is>
          <t>STOCKHOLMS LÄN</t>
        </is>
      </c>
      <c r="E22" t="inlineStr">
        <is>
          <t>NYKVARN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46079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46079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46079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46079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46079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50031-2023</t>
        </is>
      </c>
      <c r="B29" s="1" t="n">
        <v>45215.48474537037</v>
      </c>
      <c r="C29" s="1" t="n">
        <v>46079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46079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11996-2022</t>
        </is>
      </c>
      <c r="B31" s="1" t="n">
        <v>44635</v>
      </c>
      <c r="C31" s="1" t="n">
        <v>46079</v>
      </c>
      <c r="D31" t="inlineStr">
        <is>
          <t>STOCKHOLMS LÄN</t>
        </is>
      </c>
      <c r="E31" t="inlineStr">
        <is>
          <t>NYKVARN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53307-2023</t>
        </is>
      </c>
      <c r="B32" s="1" t="n">
        <v>45229</v>
      </c>
      <c r="C32" s="1" t="n">
        <v>46079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53337-2023</t>
        </is>
      </c>
      <c r="B33" s="1" t="n">
        <v>45229.63960648148</v>
      </c>
      <c r="C33" s="1" t="n">
        <v>46079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43230-2022</t>
        </is>
      </c>
      <c r="B34" s="1" t="n">
        <v>44834</v>
      </c>
      <c r="C34" s="1" t="n">
        <v>46079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46079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52878-2022</t>
        </is>
      </c>
      <c r="B36" s="1" t="n">
        <v>44872</v>
      </c>
      <c r="C36" s="1" t="n">
        <v>46079</v>
      </c>
      <c r="D36" t="inlineStr">
        <is>
          <t>STOCKHOLMS LÄN</t>
        </is>
      </c>
      <c r="E36" t="inlineStr">
        <is>
          <t>NYKVARN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24283-2022</t>
        </is>
      </c>
      <c r="B37" s="1" t="n">
        <v>44725.79453703704</v>
      </c>
      <c r="C37" s="1" t="n">
        <v>46079</v>
      </c>
      <c r="D37" t="inlineStr">
        <is>
          <t>STOCKHOLMS LÄN</t>
        </is>
      </c>
      <c r="E37" t="inlineStr">
        <is>
          <t>NYKVARN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46079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46079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51813-2024</t>
        </is>
      </c>
      <c r="B40" s="1" t="n">
        <v>45607.48734953703</v>
      </c>
      <c r="C40" s="1" t="n">
        <v>46079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32555-2023</t>
        </is>
      </c>
      <c r="B41" s="1" t="n">
        <v>45121.43032407408</v>
      </c>
      <c r="C41" s="1" t="n">
        <v>46079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45309.63112268518</v>
      </c>
      <c r="C42" s="1" t="n">
        <v>46079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18793-2023</t>
        </is>
      </c>
      <c r="B43" s="1" t="n">
        <v>45044</v>
      </c>
      <c r="C43" s="1" t="n">
        <v>46079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44973.6502662037</v>
      </c>
      <c r="C44" s="1" t="n">
        <v>46079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46079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22529-2022</t>
        </is>
      </c>
      <c r="B46" s="1" t="n">
        <v>44713</v>
      </c>
      <c r="C46" s="1" t="n">
        <v>46079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45169.38591435185</v>
      </c>
      <c r="C47" s="1" t="n">
        <v>46079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46079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46079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46079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23152-2021</t>
        </is>
      </c>
      <c r="B51" s="1" t="n">
        <v>44332</v>
      </c>
      <c r="C51" s="1" t="n">
        <v>46079</v>
      </c>
      <c r="D51" t="inlineStr">
        <is>
          <t>STOCKHOLMS LÄN</t>
        </is>
      </c>
      <c r="E51" t="inlineStr">
        <is>
          <t>NYKVARN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44969-2022</t>
        </is>
      </c>
      <c r="B52" s="1" t="n">
        <v>44841.58752314815</v>
      </c>
      <c r="C52" s="1" t="n">
        <v>46079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71540-2021</t>
        </is>
      </c>
      <c r="B53" s="1" t="n">
        <v>44540</v>
      </c>
      <c r="C53" s="1" t="n">
        <v>46079</v>
      </c>
      <c r="D53" t="inlineStr">
        <is>
          <t>STOCKHOLMS LÄN</t>
        </is>
      </c>
      <c r="E53" t="inlineStr">
        <is>
          <t>NYKVARN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60324-2022</t>
        </is>
      </c>
      <c r="B54" s="1" t="n">
        <v>44910.59086805556</v>
      </c>
      <c r="C54" s="1" t="n">
        <v>46079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11430-2022</t>
        </is>
      </c>
      <c r="B55" s="1" t="n">
        <v>44630.5968287037</v>
      </c>
      <c r="C55" s="1" t="n">
        <v>46079</v>
      </c>
      <c r="D55" t="inlineStr">
        <is>
          <t>STOCKHOLMS LÄN</t>
        </is>
      </c>
      <c r="E55" t="inlineStr">
        <is>
          <t>NYKVARN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46079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18222-2025</t>
        </is>
      </c>
      <c r="B57" s="1" t="n">
        <v>45761.7321875</v>
      </c>
      <c r="C57" s="1" t="n">
        <v>46079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46079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46079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38535-2025</t>
        </is>
      </c>
      <c r="B60" s="1" t="n">
        <v>45884.41943287037</v>
      </c>
      <c r="C60" s="1" t="n">
        <v>46079</v>
      </c>
      <c r="D60" t="inlineStr">
        <is>
          <t>STOCKHOLMS LÄN</t>
        </is>
      </c>
      <c r="E60" t="inlineStr">
        <is>
          <t>NYKVARN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6876-2022</t>
        </is>
      </c>
      <c r="B61" s="1" t="n">
        <v>44602</v>
      </c>
      <c r="C61" s="1" t="n">
        <v>46079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44947-2021</t>
        </is>
      </c>
      <c r="B62" s="1" t="n">
        <v>44438.69939814815</v>
      </c>
      <c r="C62" s="1" t="n">
        <v>46079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54583-2023</t>
        </is>
      </c>
      <c r="B63" s="1" t="n">
        <v>45233</v>
      </c>
      <c r="C63" s="1" t="n">
        <v>46079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2177-2024</t>
        </is>
      </c>
      <c r="B64" s="1" t="n">
        <v>45309.64600694444</v>
      </c>
      <c r="C64" s="1" t="n">
        <v>46079</v>
      </c>
      <c r="D64" t="inlineStr">
        <is>
          <t>STOCKHOLMS LÄN</t>
        </is>
      </c>
      <c r="E64" t="inlineStr">
        <is>
          <t>NYKVARN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46079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46079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46079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36986-2025</t>
        </is>
      </c>
      <c r="B68" s="1" t="n">
        <v>45874.65056712963</v>
      </c>
      <c r="C68" s="1" t="n">
        <v>46079</v>
      </c>
      <c r="D68" t="inlineStr">
        <is>
          <t>STOCKHOLMS LÄN</t>
        </is>
      </c>
      <c r="E68" t="inlineStr">
        <is>
          <t>NYKVARN</t>
        </is>
      </c>
      <c r="G68" t="n">
        <v>10.6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17328-2025</t>
        </is>
      </c>
      <c r="B69" s="1" t="n">
        <v>45756.64081018518</v>
      </c>
      <c r="C69" s="1" t="n">
        <v>46079</v>
      </c>
      <c r="D69" t="inlineStr">
        <is>
          <t>STOCKHOLMS LÄN</t>
        </is>
      </c>
      <c r="E69" t="inlineStr">
        <is>
          <t>NYKVARN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26755-2025</t>
        </is>
      </c>
      <c r="B70" s="1" t="n">
        <v>45810.55623842592</v>
      </c>
      <c r="C70" s="1" t="n">
        <v>46079</v>
      </c>
      <c r="D70" t="inlineStr">
        <is>
          <t>STOCKHOLMS LÄN</t>
        </is>
      </c>
      <c r="E70" t="inlineStr">
        <is>
          <t>NYKVARN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46079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63400-2023</t>
        </is>
      </c>
      <c r="B72" s="1" t="n">
        <v>45274</v>
      </c>
      <c r="C72" s="1" t="n">
        <v>46079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28607-2025</t>
        </is>
      </c>
      <c r="B73" s="1" t="n">
        <v>45819.60226851852</v>
      </c>
      <c r="C73" s="1" t="n">
        <v>46079</v>
      </c>
      <c r="D73" t="inlineStr">
        <is>
          <t>STOCKHOLMS LÄN</t>
        </is>
      </c>
      <c r="E73" t="inlineStr">
        <is>
          <t>NYKVARN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45819.59659722223</v>
      </c>
      <c r="C74" s="1" t="n">
        <v>46079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41681-2023</t>
        </is>
      </c>
      <c r="B75" s="1" t="n">
        <v>45173</v>
      </c>
      <c r="C75" s="1" t="n">
        <v>46079</v>
      </c>
      <c r="D75" t="inlineStr">
        <is>
          <t>STOCKHOLMS LÄN</t>
        </is>
      </c>
      <c r="E75" t="inlineStr">
        <is>
          <t>NYKVARN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19903-2023</t>
        </is>
      </c>
      <c r="B76" s="1" t="n">
        <v>45054</v>
      </c>
      <c r="C76" s="1" t="n">
        <v>46079</v>
      </c>
      <c r="D76" t="inlineStr">
        <is>
          <t>STOCKHOLMS LÄN</t>
        </is>
      </c>
      <c r="E76" t="inlineStr">
        <is>
          <t>NYKVARN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56639-2023</t>
        </is>
      </c>
      <c r="B77" s="1" t="n">
        <v>45243.72300925926</v>
      </c>
      <c r="C77" s="1" t="n">
        <v>46079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46079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46079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59348-2025</t>
        </is>
      </c>
      <c r="B80" s="1" t="n">
        <v>45989.40099537037</v>
      </c>
      <c r="C80" s="1" t="n">
        <v>46079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25278-2022</t>
        </is>
      </c>
      <c r="B81" s="1" t="n">
        <v>44730</v>
      </c>
      <c r="C81" s="1" t="n">
        <v>46079</v>
      </c>
      <c r="D81" t="inlineStr">
        <is>
          <t>STOCKHOLMS LÄN</t>
        </is>
      </c>
      <c r="E81" t="inlineStr">
        <is>
          <t>NYKVARN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6854-2022</t>
        </is>
      </c>
      <c r="B82" s="1" t="n">
        <v>44602</v>
      </c>
      <c r="C82" s="1" t="n">
        <v>46079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2026-02-26T11:14:45Z</dcterms:created>
  <dcterms:modified xmlns:dcterms="http://purl.org/dc/terms/" xmlns:xsi="http://www.w3.org/2001/XMLSchema-instance" xsi:type="dcterms:W3CDTF">2026-02-26T11:14:45Z</dcterms:modified>
</cp:coreProperties>
</file>