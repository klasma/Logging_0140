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46283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46283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46283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46283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46283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46283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45167</v>
      </c>
      <c r="E10" s="1" t="n">
        <v>46283</v>
      </c>
      <c r="F10" t="inlineStr">
        <is>
          <t>STOCKHOLMS LÄN</t>
        </is>
      </c>
      <c r="G10" t="inlineStr">
        <is>
          <t>NYKVARN</t>
        </is>
      </c>
      <c r="I10" t="n">
        <v>2.3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39539-2023 artfynd.xlsx", "A 39539-2023")</f>
        <v/>
      </c>
      <c r="X10">
        <f>HYPERLINK("https://klasma.github.io/Logging_0140/kartor/A 39539-2023 karta.png", "A 39539-2023")</f>
        <v/>
      </c>
      <c r="Y10">
        <f>HYPERLINK("https://klasma.github.io/Logging_0140/kartor_geotiff/A 39539-2023 georefererad karta.tif", "A 39539-2023")</f>
        <v/>
      </c>
      <c r="AA10">
        <f>HYPERLINK("https://klasma.github.io/Logging_0140/klagomål/A 39539-2023 FSC-klagomål.docx", "A 39539-2023")</f>
        <v/>
      </c>
      <c r="AB10">
        <f>HYPERLINK("https://klasma.github.io/Logging_0140/klagomålsmail/A 39539-2023 FSC-klagomål mail.docx", "A 39539-2023")</f>
        <v/>
      </c>
      <c r="AC10">
        <f>HYPERLINK("https://klasma.github.io/Logging_0140/tillsyn/A 39539-2023 tillsynsbegäran.docx", "A 39539-2023")</f>
        <v/>
      </c>
      <c r="AD10">
        <f>HYPERLINK("https://klasma.github.io/Logging_0140/tillsynsmail/A 39539-2023 tillsynsbegäran mail.docx", "A 39539-2023")</f>
        <v/>
      </c>
    </row>
    <row r="11" ht="15" customHeight="1">
      <c r="A11" t="inlineStr">
        <is>
          <t>A 11393-2022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44630</v>
      </c>
      <c r="E11" s="1" t="n">
        <v>46283</v>
      </c>
      <c r="F11" t="inlineStr">
        <is>
          <t>STOCKHOLMS LÄN</t>
        </is>
      </c>
      <c r="G11" t="inlineStr">
        <is>
          <t>NYKVARN</t>
        </is>
      </c>
      <c r="I11" t="n">
        <v>3.8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Björksplintborre</t>
        </is>
      </c>
      <c r="W11">
        <f>HYPERLINK("https://klasma.github.io/Logging_0140/artfynd/A 11393-2022 artfynd.xlsx", "A 11393-2022")</f>
        <v/>
      </c>
      <c r="X11">
        <f>HYPERLINK("https://klasma.github.io/Logging_0140/kartor/A 11393-2022 karta.png", "A 11393-2022")</f>
        <v/>
      </c>
      <c r="Y11">
        <f>HYPERLINK("https://klasma.github.io/Logging_0140/kartor_geotiff/A 11393-2022 georefererad karta.tif", "A 11393-2022")</f>
        <v/>
      </c>
      <c r="AA11">
        <f>HYPERLINK("https://klasma.github.io/Logging_0140/klagomål/A 11393-2022 FSC-klagomål.docx", "A 11393-2022")</f>
        <v/>
      </c>
      <c r="AB11">
        <f>HYPERLINK("https://klasma.github.io/Logging_0140/klagomålsmail/A 11393-2022 FSC-klagomål mail.docx", "A 11393-2022")</f>
        <v/>
      </c>
      <c r="AC11">
        <f>HYPERLINK("https://klasma.github.io/Logging_0140/tillsyn/A 11393-2022 tillsynsbegäran.docx", "A 11393-2022")</f>
        <v/>
      </c>
      <c r="AD11">
        <f>HYPERLINK("https://klasma.github.io/Logging_0140/tillsynsmail/A 11393-2022 tillsynsbegäran mail.docx", "A 11393-2022")</f>
        <v/>
      </c>
    </row>
    <row r="12" ht="15" customHeight="1">
      <c r="A12" t="inlineStr">
        <is>
          <t>A 11388-2024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45372</v>
      </c>
      <c r="E12" s="1" t="n">
        <v>46283</v>
      </c>
      <c r="F12" t="inlineStr">
        <is>
          <t>STOCKHOLMS LÄN</t>
        </is>
      </c>
      <c r="G12" t="inlineStr">
        <is>
          <t>NYKVARN</t>
        </is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3</v>
      </c>
      <c r="U12" t="n">
        <v>3</v>
      </c>
      <c r="V12" s="2" t="inlineStr">
        <is>
          <t>Igelkott</t>
        </is>
      </c>
      <c r="W12">
        <f>HYPERLINK("https://klasma.github.io/Logging_0140/artfynd/A 11388-2024 artfynd.xlsx", "A 11388-2024")</f>
        <v/>
      </c>
      <c r="X12">
        <f>HYPERLINK("https://klasma.github.io/Logging_0140/kartor/A 11388-2024 karta.png", "A 11388-2024")</f>
        <v/>
      </c>
      <c r="Y12">
        <f>HYPERLINK("https://klasma.github.io/Logging_0140/kartor_geotiff/A 11388-2024 georefererad karta.tif", "A 11388-2024")</f>
        <v/>
      </c>
      <c r="AA12">
        <f>HYPERLINK("https://klasma.github.io/Logging_0140/klagomål/A 11388-2024 FSC-klagomål.docx", "A 11388-2024")</f>
        <v/>
      </c>
      <c r="AB12">
        <f>HYPERLINK("https://klasma.github.io/Logging_0140/klagomålsmail/A 11388-2024 FSC-klagomål mail.docx", "A 11388-2024")</f>
        <v/>
      </c>
      <c r="AC12">
        <f>HYPERLINK("https://klasma.github.io/Logging_0140/tillsyn/A 11388-2024 tillsynsbegäran.docx", "A 11388-2024")</f>
        <v/>
      </c>
      <c r="AD12">
        <f>HYPERLINK("https://klasma.github.io/Logging_0140/tillsynsmail/A 11388-2024 tillsynsbegäran mail.docx", "A 11388-2024")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46283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46283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25754-2023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45084</v>
      </c>
      <c r="E15" s="1" t="n">
        <v>46283</v>
      </c>
      <c r="F15" t="inlineStr">
        <is>
          <t>STOCKHOLMS LÄN</t>
        </is>
      </c>
      <c r="G15" t="inlineStr">
        <is>
          <t>NYKVARN</t>
        </is>
      </c>
      <c r="I15" t="n">
        <v>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Trana</t>
        </is>
      </c>
      <c r="W15">
        <f>HYPERLINK("https://klasma.github.io/Logging_0140/artfynd/A 25754-2023 artfynd.xlsx", "A 25754-2023")</f>
        <v/>
      </c>
      <c r="X15">
        <f>HYPERLINK("https://klasma.github.io/Logging_0140/kartor/A 25754-2023 karta.png", "A 25754-2023")</f>
        <v/>
      </c>
      <c r="Y15">
        <f>HYPERLINK("https://klasma.github.io/Logging_0140/kartor_geotiff/A 25754-2023 georefererad karta.tif", "A 25754-2023")</f>
        <v/>
      </c>
      <c r="AA15">
        <f>HYPERLINK("https://klasma.github.io/Logging_0140/klagomål/A 25754-2023 FSC-klagomål.docx", "A 25754-2023")</f>
        <v/>
      </c>
      <c r="AB15">
        <f>HYPERLINK("https://klasma.github.io/Logging_0140/klagomålsmail/A 25754-2023 FSC-klagomål mail.docx", "A 25754-2023")</f>
        <v/>
      </c>
      <c r="AC15">
        <f>HYPERLINK("https://klasma.github.io/Logging_0140/tillsyn/A 25754-2023 tillsynsbegäran.docx", "A 25754-2023")</f>
        <v/>
      </c>
      <c r="AD15">
        <f>HYPERLINK("https://klasma.github.io/Logging_0140/tillsynsmail/A 25754-2023 tillsynsbegäran mail.docx", "A 25754-2023")</f>
        <v/>
      </c>
      <c r="AE15">
        <f>HYPERLINK("https://klasma.github.io/Logging_0140/fåglar/A 25754-2023 prioriterade fågelarter.docx", "A 25754-2023")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46283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6876-2022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46283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HYPERLINK("https://klasma.github.io/Logging_0140/artfynd/A 6876-2022 artfynd.xlsx", "A 6876-2022")</f>
        <v/>
      </c>
      <c r="X17">
        <f>HYPERLINK("https://klasma.github.io/Logging_0140/kartor/A 6876-2022 karta.png", "A 6876-2022")</f>
        <v/>
      </c>
      <c r="Y17">
        <f>HYPERLINK("https://klasma.github.io/Logging_0140/kartor_geotiff/A 6876-2022 georefererad karta.tif", "A 6876-2022")</f>
        <v/>
      </c>
      <c r="AA17">
        <f>HYPERLINK("https://klasma.github.io/Logging_0140/klagomål/A 6876-2022 FSC-klagomål.docx", "A 6876-2022")</f>
        <v/>
      </c>
      <c r="AB17">
        <f>HYPERLINK("https://klasma.github.io/Logging_0140/klagomålsmail/A 6876-2022 FSC-klagomål mail.docx", "A 6876-2022")</f>
        <v/>
      </c>
      <c r="AC17">
        <f>HYPERLINK("https://klasma.github.io/Logging_0140/tillsyn/A 6876-2022 tillsynsbegäran.docx", "A 6876-2022")</f>
        <v/>
      </c>
      <c r="AD17">
        <f>HYPERLINK("https://klasma.github.io/Logging_0140/tillsynsmail/A 6876-2022 tillsynsbegäran mail.docx", "A 6876-2022")</f>
        <v/>
      </c>
    </row>
    <row r="18" ht="15" customHeight="1">
      <c r="A18" t="inlineStr">
        <is>
          <t>A 59342-2025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45989</v>
      </c>
      <c r="E18" s="1" t="n">
        <v>46283</v>
      </c>
      <c r="F18" t="inlineStr">
        <is>
          <t>STOCKHOLMS LÄN</t>
        </is>
      </c>
      <c r="G18" t="inlineStr">
        <is>
          <t>NYKVARN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Kösa</t>
        </is>
      </c>
      <c r="W18">
        <f>HYPERLINK("https://klasma.github.io/Logging_0140/artfynd/A 59342-2025 artfynd.xlsx", "A 59342-2025")</f>
        <v/>
      </c>
      <c r="X18">
        <f>HYPERLINK("https://klasma.github.io/Logging_0140/kartor/A 59342-2025 karta.png", "A 59342-2025")</f>
        <v/>
      </c>
      <c r="Y18">
        <f>HYPERLINK("https://klasma.github.io/Logging_0140/kartor_geotiff/A 59342-2025 georefererad karta.tif", "A 59342-2025")</f>
        <v/>
      </c>
      <c r="AA18">
        <f>HYPERLINK("https://klasma.github.io/Logging_0140/klagomål/A 59342-2025 FSC-klagomål.docx", "A 59342-2025")</f>
        <v/>
      </c>
      <c r="AB18">
        <f>HYPERLINK("https://klasma.github.io/Logging_0140/klagomålsmail/A 59342-2025 FSC-klagomål mail.docx", "A 59342-2025")</f>
        <v/>
      </c>
      <c r="AC18">
        <f>HYPERLINK("https://klasma.github.io/Logging_0140/tillsyn/A 59342-2025 tillsynsbegäran.docx", "A 59342-2025")</f>
        <v/>
      </c>
      <c r="AD18">
        <f>HYPERLINK("https://klasma.github.io/Logging_0140/tillsynsmail/A 59342-2025 tillsynsbegäran mail.docx", "A 59342-2025")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46283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46283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46283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46283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46283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46283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46283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46283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46283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46283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46283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46283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46283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46283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46283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46283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46283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46283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46283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46283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46283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46283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46283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46283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71540-2021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44540</v>
      </c>
      <c r="E43" s="1" t="n">
        <v>46283</v>
      </c>
      <c r="F43" t="inlineStr">
        <is>
          <t>STOCKHOLMS LÄN</t>
        </is>
      </c>
      <c r="G43" t="inlineStr">
        <is>
          <t>NYKVARN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46283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46283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46283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46283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46283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51813-2024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46283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46283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46283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19217-2026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46283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46283</v>
      </c>
      <c r="F53" t="inlineStr">
        <is>
          <t>STOCKHOLMS LÄN</t>
        </is>
      </c>
      <c r="G53" t="inlineStr">
        <is>
          <t>NYKVARN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46283</v>
      </c>
      <c r="F54" t="inlineStr">
        <is>
          <t>STOCKHOLMS LÄN</t>
        </is>
      </c>
      <c r="G54" t="inlineStr">
        <is>
          <t>NYKVARN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46283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46283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46283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46283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46283</v>
      </c>
      <c r="F59" t="inlineStr">
        <is>
          <t>STOCKHOLMS LÄN</t>
        </is>
      </c>
      <c r="G59" t="inlineStr">
        <is>
          <t>NYKVARN</t>
        </is>
      </c>
      <c r="I59" t="n">
        <v>10.6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63592-2023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46283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46283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46283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46283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45989</v>
      </c>
      <c r="E64" s="1" t="n">
        <v>46283</v>
      </c>
      <c r="F64" t="inlineStr">
        <is>
          <t>STOCKHOLMS LÄN</t>
        </is>
      </c>
      <c r="G64" t="inlineStr">
        <is>
          <t>NYKVARN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46254</v>
      </c>
      <c r="E65" s="1" t="n">
        <v>46283</v>
      </c>
      <c r="F65" t="inlineStr">
        <is>
          <t>STOCKHOLMS LÄN</t>
        </is>
      </c>
      <c r="G65" t="inlineStr">
        <is>
          <t>NYKVARN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19903-2023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46283</v>
      </c>
      <c r="F66" t="inlineStr">
        <is>
          <t>STOCKHOLMS LÄN</t>
        </is>
      </c>
      <c r="G66" t="inlineStr">
        <is>
          <t>NYKVARN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45243</v>
      </c>
      <c r="E67" s="1" t="n">
        <v>46283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46283</v>
      </c>
      <c r="F68" t="inlineStr">
        <is>
          <t>STOCKHOLMS LÄN</t>
        </is>
      </c>
      <c r="G68" t="inlineStr">
        <is>
          <t>NYKVARN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46283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46283</v>
      </c>
      <c r="F70" t="inlineStr">
        <is>
          <t>STOCKHOLMS LÄN</t>
        </is>
      </c>
      <c r="G70" t="inlineStr">
        <is>
          <t>NYKVARN</t>
        </is>
      </c>
      <c r="I70" t="n">
        <v>9.300000000000001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46283</v>
      </c>
      <c r="F71" t="inlineStr">
        <is>
          <t>STOCKHOLMS LÄN</t>
        </is>
      </c>
      <c r="G71" t="inlineStr">
        <is>
          <t>NYKVARN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46283</v>
      </c>
      <c r="F72" t="inlineStr">
        <is>
          <t>STOCKHOLMS LÄN</t>
        </is>
      </c>
      <c r="G72" t="inlineStr">
        <is>
          <t>NYKVARN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37244-2026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46274</v>
      </c>
      <c r="E73" s="1" t="n">
        <v>46283</v>
      </c>
      <c r="F73" t="inlineStr">
        <is>
          <t>STOCKHOLMS LÄN</t>
        </is>
      </c>
      <c r="G73" t="inlineStr">
        <is>
          <t>NYKVARN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46283</v>
      </c>
      <c r="F74" t="inlineStr">
        <is>
          <t>STOCKHOLMS LÄN</t>
        </is>
      </c>
      <c r="G74" t="inlineStr">
        <is>
          <t>NYKVARN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46283</v>
      </c>
      <c r="F75" t="inlineStr">
        <is>
          <t>STOCKHOLMS LÄN</t>
        </is>
      </c>
      <c r="G75" t="inlineStr">
        <is>
          <t>NYKVARN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46283</v>
      </c>
      <c r="F76" t="inlineStr">
        <is>
          <t>STOCKHOLMS LÄN</t>
        </is>
      </c>
      <c r="G76" t="inlineStr">
        <is>
          <t>NYKVARN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46283</v>
      </c>
      <c r="F77" t="inlineStr">
        <is>
          <t>STOCKHOLMS LÄN</t>
        </is>
      </c>
      <c r="G77" t="inlineStr">
        <is>
          <t>NYKVARN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37266-2026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46283</v>
      </c>
      <c r="F78" t="inlineStr">
        <is>
          <t>STOCKHOLMS LÄN</t>
        </is>
      </c>
      <c r="G78" t="inlineStr">
        <is>
          <t>NYKVARN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46283</v>
      </c>
      <c r="F79" t="inlineStr">
        <is>
          <t>STOCKHOLMS LÄN</t>
        </is>
      </c>
      <c r="G79" t="inlineStr">
        <is>
          <t>NYKVARN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25278-2022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44730</v>
      </c>
      <c r="E80" s="1" t="n">
        <v>46283</v>
      </c>
      <c r="F80" t="inlineStr">
        <is>
          <t>STOCKHOLMS LÄN</t>
        </is>
      </c>
      <c r="G80" t="inlineStr">
        <is>
          <t>NYKVARN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46283</v>
      </c>
      <c r="F81" t="inlineStr">
        <is>
          <t>STOCKHOLMS LÄN</t>
        </is>
      </c>
      <c r="G81" t="inlineStr">
        <is>
          <t>NYKVARN</t>
        </is>
      </c>
      <c r="H81" t="inlineStr">
        <is>
          <t>Kommuner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46283</v>
      </c>
      <c r="F82" t="inlineStr">
        <is>
          <t>STOCKHOLMS LÄN</t>
        </is>
      </c>
      <c r="G82" t="inlineStr">
        <is>
          <t>NYKVARN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44725</v>
      </c>
      <c r="E83" s="1" t="n">
        <v>46283</v>
      </c>
      <c r="F83" t="inlineStr">
        <is>
          <t>STOCKHOLMS LÄN</t>
        </is>
      </c>
      <c r="G83" t="inlineStr">
        <is>
          <t>NYKVARN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45309</v>
      </c>
      <c r="E84" s="1" t="n">
        <v>46283</v>
      </c>
      <c r="F84" t="inlineStr">
        <is>
          <t>STOCKHOLMS LÄN</t>
        </is>
      </c>
      <c r="G84" t="inlineStr">
        <is>
          <t>NYKVARN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44973</v>
      </c>
      <c r="E85" s="1" t="n">
        <v>46283</v>
      </c>
      <c r="F85" t="inlineStr">
        <is>
          <t>STOCKHOLMS LÄN</t>
        </is>
      </c>
      <c r="G85" t="inlineStr">
        <is>
          <t>NYKVARN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44841</v>
      </c>
      <c r="E86" s="1" t="n">
        <v>46283</v>
      </c>
      <c r="F86" t="inlineStr">
        <is>
          <t>STOCKHOLMS LÄN</t>
        </is>
      </c>
      <c r="G86" t="inlineStr">
        <is>
          <t>NYKVARN</t>
        </is>
      </c>
      <c r="H86" t="inlineStr">
        <is>
          <t>Sveaskog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44630</v>
      </c>
      <c r="E87" s="1" t="n">
        <v>46283</v>
      </c>
      <c r="F87" t="inlineStr">
        <is>
          <t>STOCKHOLMS LÄN</t>
        </is>
      </c>
      <c r="G87" t="inlineStr">
        <is>
          <t>NYKVARN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46283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46283</v>
      </c>
      <c r="F89" t="inlineStr">
        <is>
          <t>STOCKHOLMS LÄN</t>
        </is>
      </c>
      <c r="G89" t="inlineStr">
        <is>
          <t>NYKVARN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46283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46283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46283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46283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2026-09-18T02:04:52Z</dcterms:created>
  <dcterms:modified xmlns:dcterms="http://purl.org/dc/terms/" xmlns:xsi="http://www.w3.org/2001/XMLSchema-instance" xsi:type="dcterms:W3CDTF">2026-09-18T02:04:52Z</dcterms:modified>
</cp:coreProperties>
</file>