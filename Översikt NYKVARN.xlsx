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46219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46219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46219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46219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46219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Igelkott</t>
        </is>
      </c>
      <c r="V7">
        <f>HYPERLINK("https://klasma.github.io/Logging_0140/artfynd/A 11388-2024 artfynd.xlsx", "A 11388-2024")</f>
        <v/>
      </c>
      <c r="W7">
        <f>HYPERLINK("https://klasma.github.io/Logging_0140/kartor/A 11388-2024 karta.png", "A 11388-2024")</f>
        <v/>
      </c>
      <c r="Y7">
        <f>HYPERLINK("https://klasma.github.io/Logging_0140/klagomål/A 11388-2024 FSC-klagomål.docx", "A 11388-2024")</f>
        <v/>
      </c>
      <c r="Z7">
        <f>HYPERLINK("https://klasma.github.io/Logging_0140/klagomålsmail/A 11388-2024 FSC-klagomål mail.docx", "A 11388-2024")</f>
        <v/>
      </c>
      <c r="AA7">
        <f>HYPERLINK("https://klasma.github.io/Logging_0140/tillsyn/A 11388-2024 tillsynsbegäran.docx", "A 11388-2024")</f>
        <v/>
      </c>
      <c r="AB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46219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18848-2024 artfynd.xlsx", "A 18848-2024")</f>
        <v/>
      </c>
      <c r="W8">
        <f>HYPERLINK("https://klasma.github.io/Logging_0140/kartor/A 18848-2024 karta.png", "A 18848-2024")</f>
        <v/>
      </c>
      <c r="Y8">
        <f>HYPERLINK("https://klasma.github.io/Logging_0140/klagomål/A 18848-2024 FSC-klagomål.docx", "A 18848-2024")</f>
        <v/>
      </c>
      <c r="Z8">
        <f>HYPERLINK("https://klasma.github.io/Logging_0140/klagomålsmail/A 18848-2024 FSC-klagomål mail.docx", "A 18848-2024")</f>
        <v/>
      </c>
      <c r="AA8">
        <f>HYPERLINK("https://klasma.github.io/Logging_0140/tillsyn/A 18848-2024 tillsynsbegäran.docx", "A 18848-2024")</f>
        <v/>
      </c>
      <c r="AB8">
        <f>HYPERLINK("https://klasma.github.io/Logging_0140/tillsynsmail/A 18848-2024 tillsynsbegäran mail.docx", "A 18848-2024")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46219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HYPERLINK("https://klasma.github.io/Logging_0140/artfynd/A 39539-2023 artfynd.xlsx", "A 39539-2023")</f>
        <v/>
      </c>
      <c r="W9">
        <f>HYPERLINK("https://klasma.github.io/Logging_0140/kartor/A 39539-2023 karta.png", "A 39539-2023")</f>
        <v/>
      </c>
      <c r="Y9">
        <f>HYPERLINK("https://klasma.github.io/Logging_0140/klagomål/A 39539-2023 FSC-klagomål.docx", "A 39539-2023")</f>
        <v/>
      </c>
      <c r="Z9">
        <f>HYPERLINK("https://klasma.github.io/Logging_0140/klagomålsmail/A 39539-2023 FSC-klagomål mail.docx", "A 39539-2023")</f>
        <v/>
      </c>
      <c r="AA9">
        <f>HYPERLINK("https://klasma.github.io/Logging_0140/tillsyn/A 39539-2023 tillsynsbegäran.docx", "A 39539-2023")</f>
        <v/>
      </c>
      <c r="AB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46219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Björksplintborre</t>
        </is>
      </c>
      <c r="V10">
        <f>HYPERLINK("https://klasma.github.io/Logging_0140/artfynd/A 11393-2022 artfynd.xlsx", "A 11393-2022")</f>
        <v/>
      </c>
      <c r="W10">
        <f>HYPERLINK("https://klasma.github.io/Logging_0140/kartor/A 11393-2022 karta.png", "A 11393-2022")</f>
        <v/>
      </c>
      <c r="Y10">
        <f>HYPERLINK("https://klasma.github.io/Logging_0140/klagomål/A 11393-2022 FSC-klagomål.docx", "A 11393-2022")</f>
        <v/>
      </c>
      <c r="Z10">
        <f>HYPERLINK("https://klasma.github.io/Logging_0140/klagomålsmail/A 11393-2022 FSC-klagomål mail.docx", "A 11393-2022")</f>
        <v/>
      </c>
      <c r="AA10">
        <f>HYPERLINK("https://klasma.github.io/Logging_0140/tillsyn/A 11393-2022 tillsynsbegäran.docx", "A 11393-2022")</f>
        <v/>
      </c>
      <c r="AB10">
        <f>HYPERLINK("https://klasma.github.io/Logging_0140/tillsynsmail/A 11393-2022 tillsynsbegäran mail.docx", "A 11393-2022")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46219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HYPERLINK("https://klasma.github.io/Logging_0140/artfynd/A 25754-2023 artfynd.xlsx", "A 25754-2023")</f>
        <v/>
      </c>
      <c r="W11">
        <f>HYPERLINK("https://klasma.github.io/Logging_0140/kartor/A 25754-2023 karta.png", "A 25754-2023")</f>
        <v/>
      </c>
      <c r="Y11">
        <f>HYPERLINK("https://klasma.github.io/Logging_0140/klagomål/A 25754-2023 FSC-klagomål.docx", "A 25754-2023")</f>
        <v/>
      </c>
      <c r="Z11">
        <f>HYPERLINK("https://klasma.github.io/Logging_0140/klagomålsmail/A 25754-2023 FSC-klagomål mail.docx", "A 25754-2023")</f>
        <v/>
      </c>
      <c r="AA11">
        <f>HYPERLINK("https://klasma.github.io/Logging_0140/tillsyn/A 25754-2023 tillsynsbegäran.docx", "A 25754-2023")</f>
        <v/>
      </c>
      <c r="AB11">
        <f>HYPERLINK("https://klasma.github.io/Logging_0140/tillsynsmail/A 25754-2023 tillsynsbegäran mail.docx", "A 25754-2023")</f>
        <v/>
      </c>
      <c r="AC11">
        <f>HYPERLINK("https://klasma.github.io/Logging_0140/fåglar/A 25754-2023 prioriterade fågelarter.docx", "A 25754-2023")</f>
        <v/>
      </c>
    </row>
    <row r="12" ht="15" customHeight="1">
      <c r="A12" t="inlineStr">
        <is>
          <t>A 24790-2026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46171</v>
      </c>
      <c r="E12" s="1" t="n">
        <v>46219</v>
      </c>
      <c r="F12" t="inlineStr">
        <is>
          <t>STOCKHOLMS LÄN</t>
        </is>
      </c>
      <c r="G12" t="inlineStr">
        <is>
          <t>NYKVARN</t>
        </is>
      </c>
      <c r="H12" t="inlineStr">
        <is>
          <t>Kommuner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Kopparödla</t>
        </is>
      </c>
      <c r="V12">
        <f>HYPERLINK("https://klasma.github.io/Logging_0140/artfynd/A 24790-2026 artfynd.xlsx", "A 24790-2026")</f>
        <v/>
      </c>
      <c r="W12">
        <f>HYPERLINK("https://klasma.github.io/Logging_0140/kartor/A 24790-2026 karta.png", "A 24790-2026")</f>
        <v/>
      </c>
      <c r="Y12">
        <f>HYPERLINK("https://klasma.github.io/Logging_0140/klagomål/A 24790-2026 FSC-klagomål.docx", "A 24790-2026")</f>
        <v/>
      </c>
      <c r="Z12">
        <f>HYPERLINK("https://klasma.github.io/Logging_0140/klagomålsmail/A 24790-2026 FSC-klagomål mail.docx", "A 24790-2026")</f>
        <v/>
      </c>
      <c r="AA12">
        <f>HYPERLINK("https://klasma.github.io/Logging_0140/tillsyn/A 24790-2026 tillsynsbegäran.docx", "A 24790-2026")</f>
        <v/>
      </c>
      <c r="AB12">
        <f>HYPERLINK("https://klasma.github.io/Logging_0140/tillsynsmail/A 24790-2026 tillsynsbegäran mail.docx", "A 24790-2026")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46219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Kösa</t>
        </is>
      </c>
      <c r="V13">
        <f>HYPERLINK("https://klasma.github.io/Logging_0140/artfynd/A 59342-2025 artfynd.xlsx", "A 59342-2025")</f>
        <v/>
      </c>
      <c r="W13">
        <f>HYPERLINK("https://klasma.github.io/Logging_0140/kartor/A 59342-2025 karta.png", "A 59342-2025")</f>
        <v/>
      </c>
      <c r="Y13">
        <f>HYPERLINK("https://klasma.github.io/Logging_0140/klagomål/A 59342-2025 FSC-klagomål.docx", "A 59342-2025")</f>
        <v/>
      </c>
      <c r="Z13">
        <f>HYPERLINK("https://klasma.github.io/Logging_0140/klagomålsmail/A 59342-2025 FSC-klagomål mail.docx", "A 59342-2025")</f>
        <v/>
      </c>
      <c r="AA13">
        <f>HYPERLINK("https://klasma.github.io/Logging_0140/tillsyn/A 59342-2025 tillsynsbegäran.docx", "A 59342-2025")</f>
        <v/>
      </c>
      <c r="AB13">
        <f>HYPERLINK("https://klasma.github.io/Logging_0140/tillsynsmail/A 59342-2025 tillsynsbegäran mail.docx", "A 59342-2025")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46219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Röd glada</t>
        </is>
      </c>
      <c r="V14">
        <f>HYPERLINK("https://klasma.github.io/Logging_0140/artfynd/A 37597-2024 artfynd.xlsx", "A 37597-2024")</f>
        <v/>
      </c>
      <c r="W14">
        <f>HYPERLINK("https://klasma.github.io/Logging_0140/kartor/A 37597-2024 karta.png", "A 37597-2024")</f>
        <v/>
      </c>
      <c r="Y14">
        <f>HYPERLINK("https://klasma.github.io/Logging_0140/klagomål/A 37597-2024 FSC-klagomål.docx", "A 37597-2024")</f>
        <v/>
      </c>
      <c r="Z14">
        <f>HYPERLINK("https://klasma.github.io/Logging_0140/klagomålsmail/A 37597-2024 FSC-klagomål mail.docx", "A 37597-2024")</f>
        <v/>
      </c>
      <c r="AA14">
        <f>HYPERLINK("https://klasma.github.io/Logging_0140/tillsyn/A 37597-2024 tillsynsbegäran.docx", "A 37597-2024")</f>
        <v/>
      </c>
      <c r="AB14">
        <f>HYPERLINK("https://klasma.github.io/Logging_0140/tillsynsmail/A 37597-2024 tillsynsbegäran mail.docx", "A 37597-2024")</f>
        <v/>
      </c>
      <c r="AC14">
        <f>HYPERLINK("https://klasma.github.io/Logging_0140/fåglar/A 37597-2024 prioriterade fågelarter.docx", "A 37597-2024")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46219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23279-2025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46219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23279-2025 artfynd.xlsx", "A 23279-2025")</f>
        <v/>
      </c>
      <c r="W16">
        <f>HYPERLINK("https://klasma.github.io/Logging_0140/kartor/A 23279-2025 karta.png", "A 23279-2025")</f>
        <v/>
      </c>
      <c r="Y16">
        <f>HYPERLINK("https://klasma.github.io/Logging_0140/klagomål/A 23279-2025 FSC-klagomål.docx", "A 23279-2025")</f>
        <v/>
      </c>
      <c r="Z16">
        <f>HYPERLINK("https://klasma.github.io/Logging_0140/klagomålsmail/A 23279-2025 FSC-klagomål mail.docx", "A 23279-2025")</f>
        <v/>
      </c>
      <c r="AA16">
        <f>HYPERLINK("https://klasma.github.io/Logging_0140/tillsyn/A 23279-2025 tillsynsbegäran.docx", "A 23279-2025")</f>
        <v/>
      </c>
      <c r="AB16">
        <f>HYPERLINK("https://klasma.github.io/Logging_0140/tillsynsmail/A 23279-2025 tillsynsbegäran mail.docx", "A 23279-2025")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46219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Skogsödla</t>
        </is>
      </c>
      <c r="V17">
        <f>HYPERLINK("https://klasma.github.io/Logging_0140/artfynd/A 15912-2026 artfynd.xlsx", "A 15912-2026")</f>
        <v/>
      </c>
      <c r="W17">
        <f>HYPERLINK("https://klasma.github.io/Logging_0140/kartor/A 15912-2026 karta.png", "A 15912-2026")</f>
        <v/>
      </c>
      <c r="Y17">
        <f>HYPERLINK("https://klasma.github.io/Logging_0140/klagomål/A 15912-2026 FSC-klagomål.docx", "A 15912-2026")</f>
        <v/>
      </c>
      <c r="Z17">
        <f>HYPERLINK("https://klasma.github.io/Logging_0140/klagomålsmail/A 15912-2026 FSC-klagomål mail.docx", "A 15912-2026")</f>
        <v/>
      </c>
      <c r="AA17">
        <f>HYPERLINK("https://klasma.github.io/Logging_0140/tillsyn/A 15912-2026 tillsynsbegäran.docx", "A 15912-2026")</f>
        <v/>
      </c>
      <c r="AB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46219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s="2" t="inlineStr">
        <is>
          <t>Mattlummer</t>
        </is>
      </c>
      <c r="V18">
        <f>HYPERLINK("https://klasma.github.io/Logging_0140/artfynd/A 17009-2026 artfynd.xlsx", "A 17009-2026")</f>
        <v/>
      </c>
      <c r="W18">
        <f>HYPERLINK("https://klasma.github.io/Logging_0140/kartor/A 17009-2026 karta.png", "A 17009-2026")</f>
        <v/>
      </c>
      <c r="Y18">
        <f>HYPERLINK("https://klasma.github.io/Logging_0140/klagomål/A 17009-2026 FSC-klagomål.docx", "A 17009-2026")</f>
        <v/>
      </c>
      <c r="Z18">
        <f>HYPERLINK("https://klasma.github.io/Logging_0140/klagomålsmail/A 17009-2026 FSC-klagomål mail.docx", "A 17009-2026")</f>
        <v/>
      </c>
      <c r="AA18">
        <f>HYPERLINK("https://klasma.github.io/Logging_0140/tillsyn/A 17009-2026 tillsynsbegäran.docx", "A 17009-2026")</f>
        <v/>
      </c>
      <c r="AB18">
        <f>HYPERLINK("https://klasma.github.io/Logging_0140/tillsynsmail/A 17009-2026 tillsynsbegäran mail.docx", "A 17009-2026")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46219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8285-2022 artfynd.xlsx", "A 8285-2022")</f>
        <v/>
      </c>
      <c r="W19">
        <f>HYPERLINK("https://klasma.github.io/Logging_0140/kartor/A 8285-2022 karta.png", "A 8285-2022")</f>
        <v/>
      </c>
      <c r="Y19">
        <f>HYPERLINK("https://klasma.github.io/Logging_0140/klagomål/A 8285-2022 FSC-klagomål.docx", "A 8285-2022")</f>
        <v/>
      </c>
      <c r="Z19">
        <f>HYPERLINK("https://klasma.github.io/Logging_0140/klagomålsmail/A 8285-2022 FSC-klagomål mail.docx", "A 8285-2022")</f>
        <v/>
      </c>
      <c r="AA19">
        <f>HYPERLINK("https://klasma.github.io/Logging_0140/tillsyn/A 8285-2022 tillsynsbegäran.docx", "A 8285-2022")</f>
        <v/>
      </c>
      <c r="AB19">
        <f>HYPERLINK("https://klasma.github.io/Logging_0140/tillsynsmail/A 8285-2022 tillsynsbegäran mail.docx", "A 8285-2022")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46219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46219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46219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46219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46219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46219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46219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46219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46219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46219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46219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46219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46219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2172-2024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45309</v>
      </c>
      <c r="E33" s="1" t="n">
        <v>46219</v>
      </c>
      <c r="F33" t="inlineStr">
        <is>
          <t>STOCKHOLMS LÄN</t>
        </is>
      </c>
      <c r="G33" t="inlineStr">
        <is>
          <t>NYKVARN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53307-2023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46219</v>
      </c>
      <c r="F34" t="inlineStr">
        <is>
          <t>STOCKHOLMS LÄN</t>
        </is>
      </c>
      <c r="G34" t="inlineStr">
        <is>
          <t>NYKVARN</t>
        </is>
      </c>
      <c r="H34" t="inlineStr">
        <is>
          <t>Kyrkan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53337-2023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46219</v>
      </c>
      <c r="F35" t="inlineStr">
        <is>
          <t>STOCKHOLMS LÄN</t>
        </is>
      </c>
      <c r="G35" t="inlineStr">
        <is>
          <t>NYKVARN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11996-2022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46219</v>
      </c>
      <c r="F36" t="inlineStr">
        <is>
          <t>STOCKHOLMS LÄN</t>
        </is>
      </c>
      <c r="G36" t="inlineStr">
        <is>
          <t>NYKVARN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54670-2023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46219</v>
      </c>
      <c r="F37" t="inlineStr">
        <is>
          <t>STOCKHOLMS LÄN</t>
        </is>
      </c>
      <c r="G37" t="inlineStr">
        <is>
          <t>NYKVARN</t>
        </is>
      </c>
      <c r="H37" t="inlineStr">
        <is>
          <t>Kommuner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7926-2023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46219</v>
      </c>
      <c r="F38" t="inlineStr">
        <is>
          <t>STOCKHOLMS LÄN</t>
        </is>
      </c>
      <c r="G38" t="inlineStr">
        <is>
          <t>NYKVARN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22531-2022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44713</v>
      </c>
      <c r="E39" s="1" t="n">
        <v>46219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46219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46219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8295-2022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44610</v>
      </c>
      <c r="E42" s="1" t="n">
        <v>46219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51813-2024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45607</v>
      </c>
      <c r="E43" s="1" t="n">
        <v>46219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46219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18793-2023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46219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46219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22529-2022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44713</v>
      </c>
      <c r="E47" s="1" t="n">
        <v>46219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38535-2025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45884</v>
      </c>
      <c r="E48" s="1" t="n">
        <v>46219</v>
      </c>
      <c r="F48" t="inlineStr">
        <is>
          <t>STOCKHOLMS LÄN</t>
        </is>
      </c>
      <c r="G48" t="inlineStr">
        <is>
          <t>NYKVARN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8096-2023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46219</v>
      </c>
      <c r="F49" t="inlineStr">
        <is>
          <t>STOCKHOLMS LÄN</t>
        </is>
      </c>
      <c r="G49" t="inlineStr">
        <is>
          <t>NYKVARN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46219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6857-2022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44602</v>
      </c>
      <c r="E51" s="1" t="n">
        <v>46219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71540-2021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44540</v>
      </c>
      <c r="E52" s="1" t="n">
        <v>46219</v>
      </c>
      <c r="F52" t="inlineStr">
        <is>
          <t>STOCKHOLMS LÄN</t>
        </is>
      </c>
      <c r="G52" t="inlineStr">
        <is>
          <t>NYKVARN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36986-2025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45874</v>
      </c>
      <c r="E53" s="1" t="n">
        <v>46219</v>
      </c>
      <c r="F53" t="inlineStr">
        <is>
          <t>STOCKHOLMS LÄN</t>
        </is>
      </c>
      <c r="G53" t="inlineStr">
        <is>
          <t>NYKVARN</t>
        </is>
      </c>
      <c r="I53" t="n">
        <v>10.6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46219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60324-2022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44910</v>
      </c>
      <c r="E55" s="1" t="n">
        <v>46219</v>
      </c>
      <c r="F55" t="inlineStr">
        <is>
          <t>STOCKHOLMS LÄN</t>
        </is>
      </c>
      <c r="G55" t="inlineStr">
        <is>
          <t>NYKVARN</t>
        </is>
      </c>
      <c r="H55" t="inlineStr">
        <is>
          <t>Kyrkan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51787-2021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46219</v>
      </c>
      <c r="F56" t="inlineStr">
        <is>
          <t>STOCKHOLMS LÄN</t>
        </is>
      </c>
      <c r="G56" t="inlineStr">
        <is>
          <t>NYKVARN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44947-2021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46219</v>
      </c>
      <c r="F57" t="inlineStr">
        <is>
          <t>STOCKHOLMS LÄN</t>
        </is>
      </c>
      <c r="G57" t="inlineStr">
        <is>
          <t>NYKVARN</t>
        </is>
      </c>
      <c r="H57" t="inlineStr">
        <is>
          <t>Allmännings- och besparingsskogar</t>
        </is>
      </c>
      <c r="I57" t="n">
        <v>11.3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54583-2023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46219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63586-2023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46219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46219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32555-2023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45121</v>
      </c>
      <c r="E61" s="1" t="n">
        <v>46219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24796-2026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46171</v>
      </c>
      <c r="E62" s="1" t="n">
        <v>46219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59348-2025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45989</v>
      </c>
      <c r="E63" s="1" t="n">
        <v>46219</v>
      </c>
      <c r="F63" t="inlineStr">
        <is>
          <t>STOCKHOLMS LÄN</t>
        </is>
      </c>
      <c r="G63" t="inlineStr">
        <is>
          <t>NYKVARN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63592-2023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46219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18222-2025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46219</v>
      </c>
      <c r="F65" t="inlineStr">
        <is>
          <t>STOCKHOLMS LÄN</t>
        </is>
      </c>
      <c r="G65" t="inlineStr">
        <is>
          <t>NYKVARN</t>
        </is>
      </c>
      <c r="H65" t="inlineStr">
        <is>
          <t>Sveaskog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45309</v>
      </c>
      <c r="E66" s="1" t="n">
        <v>46219</v>
      </c>
      <c r="F66" t="inlineStr">
        <is>
          <t>STOCKHOLMS LÄN</t>
        </is>
      </c>
      <c r="G66" t="inlineStr">
        <is>
          <t>NYKVARN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45756</v>
      </c>
      <c r="E67" s="1" t="n">
        <v>46219</v>
      </c>
      <c r="F67" t="inlineStr">
        <is>
          <t>STOCKHOLMS LÄN</t>
        </is>
      </c>
      <c r="G67" t="inlineStr">
        <is>
          <t>NYKVARN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63400-2023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45274</v>
      </c>
      <c r="E68" s="1" t="n">
        <v>46219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23655-2025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46219</v>
      </c>
      <c r="F69" t="inlineStr">
        <is>
          <t>STOCKHOLMS LÄN</t>
        </is>
      </c>
      <c r="G69" t="inlineStr">
        <is>
          <t>NYKVARN</t>
        </is>
      </c>
      <c r="H69" t="inlineStr">
        <is>
          <t>Sveaskog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41681-2023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45173</v>
      </c>
      <c r="E70" s="1" t="n">
        <v>46219</v>
      </c>
      <c r="F70" t="inlineStr">
        <is>
          <t>STOCKHOLMS LÄN</t>
        </is>
      </c>
      <c r="G70" t="inlineStr">
        <is>
          <t>NYKVARN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46219</v>
      </c>
      <c r="F71" t="inlineStr">
        <is>
          <t>STOCKHOLMS LÄN</t>
        </is>
      </c>
      <c r="G71" t="inlineStr">
        <is>
          <t>NYKVARN</t>
        </is>
      </c>
      <c r="H71" t="inlineStr">
        <is>
          <t>Sveaskog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19903-2023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45054</v>
      </c>
      <c r="E72" s="1" t="n">
        <v>46219</v>
      </c>
      <c r="F72" t="inlineStr">
        <is>
          <t>STOCKHOLMS LÄN</t>
        </is>
      </c>
      <c r="G72" t="inlineStr">
        <is>
          <t>NYKVARN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56639-2023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45243</v>
      </c>
      <c r="E73" s="1" t="n">
        <v>46219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50020-2023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46219</v>
      </c>
      <c r="F74" t="inlineStr">
        <is>
          <t>STOCKHOLMS LÄN</t>
        </is>
      </c>
      <c r="G74" t="inlineStr">
        <is>
          <t>NYKVARN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44730</v>
      </c>
      <c r="E75" s="1" t="n">
        <v>46219</v>
      </c>
      <c r="F75" t="inlineStr">
        <is>
          <t>STOCKHOLMS LÄN</t>
        </is>
      </c>
      <c r="G75" t="inlineStr">
        <is>
          <t>NYKVARN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19217-2026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46219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18780-2026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46219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6854-2022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46219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52878-2022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46219</v>
      </c>
      <c r="F79" t="inlineStr">
        <is>
          <t>STOCKHOLMS LÄN</t>
        </is>
      </c>
      <c r="G79" t="inlineStr">
        <is>
          <t>NYKVARN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24283-2022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46219</v>
      </c>
      <c r="F80" t="inlineStr">
        <is>
          <t>STOCKHOLMS LÄN</t>
        </is>
      </c>
      <c r="G80" t="inlineStr">
        <is>
          <t>NYKVARN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46219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46219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2026-07-16T01:26:34Z</dcterms:created>
  <dcterms:modified xmlns:dcterms="http://purl.org/dc/terms/" xmlns:xsi="http://www.w3.org/2001/XMLSchema-instance" xsi:type="dcterms:W3CDTF">2026-07-16T01:26:35Z</dcterms:modified>
</cp:coreProperties>
</file>