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46300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46300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46300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46300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46300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46300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46300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23279-2025 artfynd.xlsx", "A 23279-2025")</f>
        <v/>
      </c>
      <c r="X10">
        <f>HYPERLINK("https://klasma.github.io/Logging_0140/kartor/A 23279-2025 karta.png", "A 23279-2025")</f>
        <v/>
      </c>
      <c r="Y10">
        <f>HYPERLINK("https://klasma.github.io/Logging_0140/kartor_geotiff/A 23279-2025 georefererad karta.tif", "A 23279-2025")</f>
        <v/>
      </c>
      <c r="AA10">
        <f>HYPERLINK("https://klasma.github.io/Logging_0140/klagomål/A 23279-2025 FSC-klagomål.docx", "A 23279-2025")</f>
        <v/>
      </c>
      <c r="AB10">
        <f>HYPERLINK("https://klasma.github.io/Logging_0140/klagomålsmail/A 23279-2025 FSC-klagomål mail.docx", "A 23279-2025")</f>
        <v/>
      </c>
      <c r="AC10">
        <f>HYPERLINK("https://klasma.github.io/Logging_0140/tillsyn/A 23279-2025 tillsynsbegäran.docx", "A 23279-2025")</f>
        <v/>
      </c>
      <c r="AD10">
        <f>HYPERLINK("https://klasma.github.io/Logging_0140/tillsynsmail/A 23279-2025 tillsynsbegäran mail.docx", "A 23279-2025")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46300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46300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46300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46300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46300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46300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37597-2024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46300</v>
      </c>
      <c r="F17" t="inlineStr">
        <is>
          <t>STOCKHOLMS LÄN</t>
        </is>
      </c>
      <c r="G17" t="inlineStr">
        <is>
          <t>NYKVARN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HYPERLINK("https://klasma.github.io/Logging_0140/artfynd/A 37597-2024 artfynd.xlsx", "A 37597-2024")</f>
        <v/>
      </c>
      <c r="X17">
        <f>HYPERLINK("https://klasma.github.io/Logging_0140/kartor/A 37597-2024 karta.png", "A 37597-2024")</f>
        <v/>
      </c>
      <c r="Y17">
        <f>HYPERLINK("https://klasma.github.io/Logging_0140/kartor_geotiff/A 37597-2024 georefererad karta.tif", "A 37597-2024")</f>
        <v/>
      </c>
      <c r="AA17">
        <f>HYPERLINK("https://klasma.github.io/Logging_0140/klagomål/A 37597-2024 FSC-klagomål.docx", "A 37597-2024")</f>
        <v/>
      </c>
      <c r="AB17">
        <f>HYPERLINK("https://klasma.github.io/Logging_0140/klagomålsmail/A 37597-2024 FSC-klagomål mail.docx", "A 37597-2024")</f>
        <v/>
      </c>
      <c r="AC17">
        <f>HYPERLINK("https://klasma.github.io/Logging_0140/tillsyn/A 37597-2024 tillsynsbegäran.docx", "A 37597-2024")</f>
        <v/>
      </c>
      <c r="AD17">
        <f>HYPERLINK("https://klasma.github.io/Logging_0140/tillsynsmail/A 37597-2024 tillsynsbegäran mail.docx", "A 37597-2024")</f>
        <v/>
      </c>
      <c r="AE17">
        <f>HYPERLINK("https://klasma.github.io/Logging_0140/fåglar/A 37597-2024 prioriterade fågelarter.docx", "A 37597-2024")</f>
        <v/>
      </c>
    </row>
    <row r="18" ht="15" customHeight="1">
      <c r="A18" t="inlineStr">
        <is>
          <t>A 39539-2023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45167</v>
      </c>
      <c r="E18" s="1" t="n">
        <v>46300</v>
      </c>
      <c r="F18" t="inlineStr">
        <is>
          <t>STOCKHOLMS LÄN</t>
        </is>
      </c>
      <c r="G18" t="inlineStr">
        <is>
          <t>NYKVARN</t>
        </is>
      </c>
      <c r="I18" t="n">
        <v>2.3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39539-2023 artfynd.xlsx", "A 39539-2023")</f>
        <v/>
      </c>
      <c r="X18">
        <f>HYPERLINK("https://klasma.github.io/Logging_0140/kartor/A 39539-2023 karta.png", "A 39539-2023")</f>
        <v/>
      </c>
      <c r="Y18">
        <f>HYPERLINK("https://klasma.github.io/Logging_0140/kartor_geotiff/A 39539-2023 georefererad karta.tif", "A 39539-2023")</f>
        <v/>
      </c>
      <c r="AA18">
        <f>HYPERLINK("https://klasma.github.io/Logging_0140/klagomål/A 39539-2023 FSC-klagomål.docx", "A 39539-2023")</f>
        <v/>
      </c>
      <c r="AB18">
        <f>HYPERLINK("https://klasma.github.io/Logging_0140/klagomålsmail/A 39539-2023 FSC-klagomål mail.docx", "A 39539-2023")</f>
        <v/>
      </c>
      <c r="AC18">
        <f>HYPERLINK("https://klasma.github.io/Logging_0140/tillsyn/A 39539-2023 tillsynsbegäran.docx", "A 39539-2023")</f>
        <v/>
      </c>
      <c r="AD18">
        <f>HYPERLINK("https://klasma.github.io/Logging_0140/tillsynsmail/A 39539-2023 tillsynsbegäran mail.docx", "A 39539-2023")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46300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46300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11393-2022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44630</v>
      </c>
      <c r="E21" s="1" t="n">
        <v>46300</v>
      </c>
      <c r="F21" t="inlineStr">
        <is>
          <t>STOCKHOLMS LÄN</t>
        </is>
      </c>
      <c r="G21" t="inlineStr">
        <is>
          <t>NYKVARN</t>
        </is>
      </c>
      <c r="I21" t="n">
        <v>3.8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HYPERLINK("https://klasma.github.io/Logging_0140/artfynd/A 11393-2022 artfynd.xlsx", "A 11393-2022")</f>
        <v/>
      </c>
      <c r="X21">
        <f>HYPERLINK("https://klasma.github.io/Logging_0140/kartor/A 11393-2022 karta.png", "A 11393-2022")</f>
        <v/>
      </c>
      <c r="Y21">
        <f>HYPERLINK("https://klasma.github.io/Logging_0140/kartor_geotiff/A 11393-2022 georefererad karta.tif", "A 11393-2022")</f>
        <v/>
      </c>
      <c r="AA21">
        <f>HYPERLINK("https://klasma.github.io/Logging_0140/klagomål/A 11393-2022 FSC-klagomål.docx", "A 11393-2022")</f>
        <v/>
      </c>
      <c r="AB21">
        <f>HYPERLINK("https://klasma.github.io/Logging_0140/klagomålsmail/A 11393-2022 FSC-klagomål mail.docx", "A 11393-2022")</f>
        <v/>
      </c>
      <c r="AC21">
        <f>HYPERLINK("https://klasma.github.io/Logging_0140/tillsyn/A 11393-2022 tillsynsbegäran.docx", "A 11393-2022")</f>
        <v/>
      </c>
      <c r="AD21">
        <f>HYPERLINK("https://klasma.github.io/Logging_0140/tillsynsmail/A 11393-2022 tillsynsbegäran mail.docx", "A 11393-2022")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46300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46300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46300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46300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46300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46300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46300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46300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46300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46300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46300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46300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46300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46300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46300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46300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46300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46300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46300</v>
      </c>
      <c r="F40" t="inlineStr">
        <is>
          <t>STOCKHOLMS LÄN</t>
        </is>
      </c>
      <c r="G40" t="inlineStr">
        <is>
          <t>NYKVARN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46300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46300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46300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46300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46300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46300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46300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46300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19217-2026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46300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46300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46300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46300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46300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46300</v>
      </c>
      <c r="F54" t="inlineStr">
        <is>
          <t>STOCKHOLMS LÄN</t>
        </is>
      </c>
      <c r="G54" t="inlineStr">
        <is>
          <t>NYKVARN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46300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46300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46300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46300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46300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46300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46300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19487-2023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45050</v>
      </c>
      <c r="E62" s="1" t="n">
        <v>46300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45044</v>
      </c>
      <c r="E63" s="1" t="n">
        <v>46300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46300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63586-2023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46300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46300</v>
      </c>
      <c r="F66" t="inlineStr">
        <is>
          <t>STOCKHOLMS LÄN</t>
        </is>
      </c>
      <c r="G66" t="inlineStr">
        <is>
          <t>NYKVARN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46300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46300</v>
      </c>
      <c r="F68" t="inlineStr">
        <is>
          <t>STOCKHOLMS LÄN</t>
        </is>
      </c>
      <c r="G68" t="inlineStr">
        <is>
          <t>NYKVARN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46300</v>
      </c>
      <c r="F69" t="inlineStr">
        <is>
          <t>STOCKHOLMS LÄN</t>
        </is>
      </c>
      <c r="G69" t="inlineStr">
        <is>
          <t>NYKVARN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46300</v>
      </c>
      <c r="F70" t="inlineStr">
        <is>
          <t>STOCKHOLMS LÄN</t>
        </is>
      </c>
      <c r="G70" t="inlineStr">
        <is>
          <t>NYKVARN</t>
        </is>
      </c>
      <c r="H70" t="inlineStr">
        <is>
          <t>Allmännings- och besparingsskogar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46300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46300</v>
      </c>
      <c r="F72" t="inlineStr">
        <is>
          <t>STOCKHOLMS LÄN</t>
        </is>
      </c>
      <c r="G72" t="inlineStr">
        <is>
          <t>NYKVARN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46273</v>
      </c>
      <c r="E73" s="1" t="n">
        <v>46300</v>
      </c>
      <c r="F73" t="inlineStr">
        <is>
          <t>STOCKHOLMS LÄN</t>
        </is>
      </c>
      <c r="G73" t="inlineStr">
        <is>
          <t>NYKVARN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46300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46300</v>
      </c>
      <c r="F75" t="inlineStr">
        <is>
          <t>STOCKHOLMS LÄN</t>
        </is>
      </c>
      <c r="G75" t="inlineStr">
        <is>
          <t>NYKVARN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46300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46300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46300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46300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46300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46300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46300</v>
      </c>
      <c r="F82" t="inlineStr">
        <is>
          <t>STOCKHOLMS LÄN</t>
        </is>
      </c>
      <c r="G82" t="inlineStr">
        <is>
          <t>NYKVARN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46300</v>
      </c>
      <c r="F83" t="inlineStr">
        <is>
          <t>STOCKHOLMS LÄN</t>
        </is>
      </c>
      <c r="G83" t="inlineStr">
        <is>
          <t>NYKVARN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46300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46300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63592-2023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45275</v>
      </c>
      <c r="E86" s="1" t="n">
        <v>46300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46300</v>
      </c>
      <c r="F87" t="inlineStr">
        <is>
          <t>STOCKHOLMS LÄN</t>
        </is>
      </c>
      <c r="G87" t="inlineStr">
        <is>
          <t>NYKVARN</t>
        </is>
      </c>
      <c r="H87" t="inlineStr">
        <is>
          <t>Allmännings- och besparingsskogar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46300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46300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2026-10-05T01:56:52Z</dcterms:created>
  <dcterms:modified xmlns:dcterms="http://purl.org/dc/terms/" xmlns:xsi="http://www.w3.org/2001/XMLSchema-instance" xsi:type="dcterms:W3CDTF">2026-10-05T01:56:52Z</dcterms:modified>
</cp:coreProperties>
</file>