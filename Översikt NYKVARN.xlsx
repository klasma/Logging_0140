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46284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46284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46284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46284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46284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46284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46284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11388-2024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45372</v>
      </c>
      <c r="E9" s="1" t="n">
        <v>46284</v>
      </c>
      <c r="F9" t="inlineStr">
        <is>
          <t>STOCKHOLMS LÄN</t>
        </is>
      </c>
      <c r="G9" t="inlineStr">
        <is>
          <t>NYKVARN</t>
        </is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Igelkott</t>
        </is>
      </c>
      <c r="W9">
        <f>HYPERLINK("https://klasma.github.io/Logging_0140/artfynd/A 11388-2024 artfynd.xlsx", "A 11388-2024")</f>
        <v/>
      </c>
      <c r="X9">
        <f>HYPERLINK("https://klasma.github.io/Logging_0140/kartor/A 11388-2024 karta.png", "A 11388-2024")</f>
        <v/>
      </c>
      <c r="Y9">
        <f>HYPERLINK("https://klasma.github.io/Logging_0140/kartor_geotiff/A 11388-2024 georefererad karta.tif", "A 11388-2024")</f>
        <v/>
      </c>
      <c r="AA9">
        <f>HYPERLINK("https://klasma.github.io/Logging_0140/klagomål/A 11388-2024 FSC-klagomål.docx", "A 11388-2024")</f>
        <v/>
      </c>
      <c r="AB9">
        <f>HYPERLINK("https://klasma.github.io/Logging_0140/klagomålsmail/A 11388-2024 FSC-klagomål mail.docx", "A 11388-2024")</f>
        <v/>
      </c>
      <c r="AC9">
        <f>HYPERLINK("https://klasma.github.io/Logging_0140/tillsyn/A 11388-2024 tillsynsbegäran.docx", "A 11388-2024")</f>
        <v/>
      </c>
      <c r="AD9">
        <f>HYPERLINK("https://klasma.github.io/Logging_0140/tillsynsmail/A 11388-2024 tillsynsbegäran mail.docx", "A 11388-2024")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46284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46284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46284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46284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46284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46284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46284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46284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46284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17009-2026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46284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8.699999999999999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Mattlummer</t>
        </is>
      </c>
      <c r="W19">
        <f>HYPERLINK("https://klasma.github.io/Logging_0140/artfynd/A 17009-2026 artfynd.xlsx", "A 17009-2026")</f>
        <v/>
      </c>
      <c r="X19">
        <f>HYPERLINK("https://klasma.github.io/Logging_0140/kartor/A 17009-2026 karta.png", "A 17009-2026")</f>
        <v/>
      </c>
      <c r="Y19">
        <f>HYPERLINK("https://klasma.github.io/Logging_0140/kartor_geotiff/A 17009-2026 georefererad karta.tif", "A 17009-2026")</f>
        <v/>
      </c>
      <c r="AA19">
        <f>HYPERLINK("https://klasma.github.io/Logging_0140/klagomål/A 17009-2026 FSC-klagomål.docx", "A 17009-2026")</f>
        <v/>
      </c>
      <c r="AB19">
        <f>HYPERLINK("https://klasma.github.io/Logging_0140/klagomålsmail/A 17009-2026 FSC-klagomål mail.docx", "A 17009-2026")</f>
        <v/>
      </c>
      <c r="AC19">
        <f>HYPERLINK("https://klasma.github.io/Logging_0140/tillsyn/A 17009-2026 tillsynsbegäran.docx", "A 17009-2026")</f>
        <v/>
      </c>
      <c r="AD19">
        <f>HYPERLINK("https://klasma.github.io/Logging_0140/tillsynsmail/A 17009-2026 tillsynsbegäran mail.docx", "A 17009-2026")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46284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46284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46284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46284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46284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46284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46284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46284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46284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46284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46284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46284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46284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46284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46284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46284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46284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46284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46284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46284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51787-2021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46284</v>
      </c>
      <c r="F40" t="inlineStr">
        <is>
          <t>STOCKHOLMS LÄN</t>
        </is>
      </c>
      <c r="G40" t="inlineStr">
        <is>
          <t>NYKVARN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46284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46284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46284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46284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46284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46284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46284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41681-2023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46284</v>
      </c>
      <c r="F48" t="inlineStr">
        <is>
          <t>STOCKHOLMS LÄN</t>
        </is>
      </c>
      <c r="G48" t="inlineStr">
        <is>
          <t>NYKVARN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46284</v>
      </c>
      <c r="F49" t="inlineStr">
        <is>
          <t>STOCKHOLMS LÄN</t>
        </is>
      </c>
      <c r="G49" t="inlineStr">
        <is>
          <t>NYKVARN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46284</v>
      </c>
      <c r="F50" t="inlineStr">
        <is>
          <t>STOCKHOLMS LÄN</t>
        </is>
      </c>
      <c r="G50" t="inlineStr">
        <is>
          <t>NYKVARN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46284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46284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45756</v>
      </c>
      <c r="E53" s="1" t="n">
        <v>46284</v>
      </c>
      <c r="F53" t="inlineStr">
        <is>
          <t>STOCKHOLMS LÄN</t>
        </is>
      </c>
      <c r="G53" t="inlineStr">
        <is>
          <t>NYKVARN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45989</v>
      </c>
      <c r="E54" s="1" t="n">
        <v>46284</v>
      </c>
      <c r="F54" t="inlineStr">
        <is>
          <t>STOCKHOLMS LÄN</t>
        </is>
      </c>
      <c r="G54" t="inlineStr">
        <is>
          <t>NYKVARN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46284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46284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19487-2023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45050</v>
      </c>
      <c r="E57" s="1" t="n">
        <v>46284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46284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46284</v>
      </c>
      <c r="F59" t="inlineStr">
        <is>
          <t>STOCKHOLMS LÄN</t>
        </is>
      </c>
      <c r="G59" t="inlineStr">
        <is>
          <t>NYKVARN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46284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46284</v>
      </c>
      <c r="F61" t="inlineStr">
        <is>
          <t>STOCKHOLMS LÄN</t>
        </is>
      </c>
      <c r="G61" t="inlineStr">
        <is>
          <t>NYKVARN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44730</v>
      </c>
      <c r="E62" s="1" t="n">
        <v>46284</v>
      </c>
      <c r="F62" t="inlineStr">
        <is>
          <t>STOCKHOLMS LÄN</t>
        </is>
      </c>
      <c r="G62" t="inlineStr">
        <is>
          <t>NYKVARN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46284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71540-2021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44540</v>
      </c>
      <c r="E64" s="1" t="n">
        <v>46284</v>
      </c>
      <c r="F64" t="inlineStr">
        <is>
          <t>STOCKHOLMS LÄN</t>
        </is>
      </c>
      <c r="G64" t="inlineStr">
        <is>
          <t>NYKVARN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46284</v>
      </c>
      <c r="F65" t="inlineStr">
        <is>
          <t>STOCKHOLMS LÄN</t>
        </is>
      </c>
      <c r="G65" t="inlineStr">
        <is>
          <t>NYKVARN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46284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46284</v>
      </c>
      <c r="F67" t="inlineStr">
        <is>
          <t>STOCKHOLMS LÄN</t>
        </is>
      </c>
      <c r="G67" t="inlineStr">
        <is>
          <t>NYKVARN</t>
        </is>
      </c>
      <c r="I67" t="n">
        <v>10.6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19903-2023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46284</v>
      </c>
      <c r="F68" t="inlineStr">
        <is>
          <t>STOCKHOLMS LÄN</t>
        </is>
      </c>
      <c r="G68" t="inlineStr">
        <is>
          <t>NYKVARN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46284</v>
      </c>
      <c r="F69" t="inlineStr">
        <is>
          <t>STOCKHOLMS LÄN</t>
        </is>
      </c>
      <c r="G69" t="inlineStr">
        <is>
          <t>NYKVARN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46284</v>
      </c>
      <c r="F70" t="inlineStr">
        <is>
          <t>STOCKHOLMS LÄN</t>
        </is>
      </c>
      <c r="G70" t="inlineStr">
        <is>
          <t>NYKVARN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46132</v>
      </c>
      <c r="E71" s="1" t="n">
        <v>46284</v>
      </c>
      <c r="F71" t="inlineStr">
        <is>
          <t>STOCKHOLMS LÄN</t>
        </is>
      </c>
      <c r="G71" t="inlineStr">
        <is>
          <t>NYKVARN</t>
        </is>
      </c>
      <c r="H71" t="inlineStr">
        <is>
          <t>Sveaskog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46284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46284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63592-2023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45275</v>
      </c>
      <c r="E74" s="1" t="n">
        <v>46284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46284</v>
      </c>
      <c r="F75" t="inlineStr">
        <is>
          <t>STOCKHOLMS LÄN</t>
        </is>
      </c>
      <c r="G75" t="inlineStr">
        <is>
          <t>NYKVARN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46284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46284</v>
      </c>
      <c r="F77" t="inlineStr">
        <is>
          <t>STOCKHOLMS LÄN</t>
        </is>
      </c>
      <c r="G77" t="inlineStr">
        <is>
          <t>NYKVARN</t>
        </is>
      </c>
      <c r="H77" t="inlineStr">
        <is>
          <t>Allmännings- och besparingsskogar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46284</v>
      </c>
      <c r="F78" t="inlineStr">
        <is>
          <t>STOCKHOLMS LÄN</t>
        </is>
      </c>
      <c r="G78" t="inlineStr">
        <is>
          <t>NYKVARN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46284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46284</v>
      </c>
      <c r="F80" t="inlineStr">
        <is>
          <t>STOCKHOLMS LÄN</t>
        </is>
      </c>
      <c r="G80" t="inlineStr">
        <is>
          <t>NYKVARN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46284</v>
      </c>
      <c r="F81" t="inlineStr">
        <is>
          <t>STOCKHOLMS LÄN</t>
        </is>
      </c>
      <c r="G81" t="inlineStr">
        <is>
          <t>NYKVARN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46284</v>
      </c>
      <c r="F82" t="inlineStr">
        <is>
          <t>STOCKHOLMS LÄN</t>
        </is>
      </c>
      <c r="G82" t="inlineStr">
        <is>
          <t>NYKVARN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46284</v>
      </c>
      <c r="F83" t="inlineStr">
        <is>
          <t>STOCKHOLMS LÄN</t>
        </is>
      </c>
      <c r="G83" t="inlineStr">
        <is>
          <t>NYKVARN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46284</v>
      </c>
      <c r="F84" t="inlineStr">
        <is>
          <t>STOCKHOLMS LÄN</t>
        </is>
      </c>
      <c r="G84" t="inlineStr">
        <is>
          <t>NYKVARN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37244-2026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46274</v>
      </c>
      <c r="E85" s="1" t="n">
        <v>46284</v>
      </c>
      <c r="F85" t="inlineStr">
        <is>
          <t>STOCKHOLMS LÄN</t>
        </is>
      </c>
      <c r="G85" t="inlineStr">
        <is>
          <t>NYKVARN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37266-2026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46274</v>
      </c>
      <c r="E86" s="1" t="n">
        <v>46284</v>
      </c>
      <c r="F86" t="inlineStr">
        <is>
          <t>STOCKHOLMS LÄN</t>
        </is>
      </c>
      <c r="G86" t="inlineStr">
        <is>
          <t>NYKVARN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46284</v>
      </c>
      <c r="F87" t="inlineStr">
        <is>
          <t>STOCKHOLMS LÄN</t>
        </is>
      </c>
      <c r="G87" t="inlineStr">
        <is>
          <t>NYKVARN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37309-2026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46274</v>
      </c>
      <c r="E88" s="1" t="n">
        <v>46284</v>
      </c>
      <c r="F88" t="inlineStr">
        <is>
          <t>STOCKHOLMS LÄN</t>
        </is>
      </c>
      <c r="G88" t="inlineStr">
        <is>
          <t>NYKVARN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46284</v>
      </c>
      <c r="F89" t="inlineStr">
        <is>
          <t>STOCKHOLMS LÄN</t>
        </is>
      </c>
      <c r="G89" t="inlineStr">
        <is>
          <t>NYKVARN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46284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46284</v>
      </c>
      <c r="F91" t="inlineStr">
        <is>
          <t>STOCKHOLMS LÄN</t>
        </is>
      </c>
      <c r="G91" t="inlineStr">
        <is>
          <t>NYKVARN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1582-2024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45427</v>
      </c>
      <c r="E92" s="1" t="n">
        <v>46284</v>
      </c>
      <c r="F92" t="inlineStr">
        <is>
          <t>STOCKHOLMS LÄN</t>
        </is>
      </c>
      <c r="G92" t="inlineStr">
        <is>
          <t>NYKVARN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710-2025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45720</v>
      </c>
      <c r="E93" s="1" t="n">
        <v>46284</v>
      </c>
      <c r="F93" t="inlineStr">
        <is>
          <t>STOCKHOLMS LÄN</t>
        </is>
      </c>
      <c r="G93" t="inlineStr">
        <is>
          <t>NYKVARN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2026-09-19T02:01:54Z</dcterms:created>
  <dcterms:modified xmlns:dcterms="http://purl.org/dc/terms/" xmlns:xsi="http://www.w3.org/2001/XMLSchema-instance" xsi:type="dcterms:W3CDTF">2026-09-19T02:01:54Z</dcterms:modified>
</cp:coreProperties>
</file>