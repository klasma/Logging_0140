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46130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46130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46130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46130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46130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46130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46130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46130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37597-2024</t>
        </is>
      </c>
      <c r="B15" s="1" t="n">
        <v>45541.47459490741</v>
      </c>
      <c r="C15" s="1" t="n">
        <v>46130</v>
      </c>
      <c r="D15" t="inlineStr">
        <is>
          <t>STOCKHOLMS LÄN</t>
        </is>
      </c>
      <c r="E15" t="inlineStr">
        <is>
          <t>NYKVARN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 glada</t>
        </is>
      </c>
      <c r="S15">
        <f>HYPERLINK("https://klasma.github.io/Logging_0140/artfynd/A 37597-2024 artfynd.xlsx", "A 37597-2024")</f>
        <v/>
      </c>
      <c r="T15">
        <f>HYPERLINK("https://klasma.github.io/Logging_0140/kartor/A 37597-2024 karta.png", "A 37597-2024")</f>
        <v/>
      </c>
      <c r="V15">
        <f>HYPERLINK("https://klasma.github.io/Logging_0140/klagomål/A 37597-2024 FSC-klagomål.docx", "A 37597-2024")</f>
        <v/>
      </c>
      <c r="W15">
        <f>HYPERLINK("https://klasma.github.io/Logging_0140/klagomålsmail/A 37597-2024 FSC-klagomål mail.docx", "A 37597-2024")</f>
        <v/>
      </c>
      <c r="X15">
        <f>HYPERLINK("https://klasma.github.io/Logging_0140/tillsyn/A 37597-2024 tillsynsbegäran.docx", "A 37597-2024")</f>
        <v/>
      </c>
      <c r="Y15">
        <f>HYPERLINK("https://klasma.github.io/Logging_0140/tillsynsmail/A 37597-2024 tillsynsbegäran mail.docx", "A 37597-2024")</f>
        <v/>
      </c>
      <c r="Z15">
        <f>HYPERLINK("https://klasma.github.io/Logging_0140/fåglar/A 37597-2024 prioriterade fågelarter.docx", "A 37597-2024")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46130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46130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46130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46130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46130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46130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46130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46130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46130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46130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2177-2024</t>
        </is>
      </c>
      <c r="B35" s="1" t="n">
        <v>45309.64600694444</v>
      </c>
      <c r="C35" s="1" t="n">
        <v>46130</v>
      </c>
      <c r="D35" t="inlineStr">
        <is>
          <t>STOCKHOLMS LÄN</t>
        </is>
      </c>
      <c r="E35" t="inlineStr">
        <is>
          <t>NYKVARN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46130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46130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46130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46130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46130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46130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46130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46130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46130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46130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46130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46130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28607-2025</t>
        </is>
      </c>
      <c r="B48" s="1" t="n">
        <v>45819.60226851852</v>
      </c>
      <c r="C48" s="1" t="n">
        <v>46130</v>
      </c>
      <c r="D48" t="inlineStr">
        <is>
          <t>STOCKHOLMS LÄN</t>
        </is>
      </c>
      <c r="E48" t="inlineStr">
        <is>
          <t>NYKVARN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28598-2025</t>
        </is>
      </c>
      <c r="B49" s="1" t="n">
        <v>45819.59659722223</v>
      </c>
      <c r="C49" s="1" t="n">
        <v>46130</v>
      </c>
      <c r="D49" t="inlineStr">
        <is>
          <t>STOCKHOLMS LÄN</t>
        </is>
      </c>
      <c r="E49" t="inlineStr">
        <is>
          <t>NYKVARN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46130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53337-2023</t>
        </is>
      </c>
      <c r="B51" s="1" t="n">
        <v>45229.63960648148</v>
      </c>
      <c r="C51" s="1" t="n">
        <v>46130</v>
      </c>
      <c r="D51" t="inlineStr">
        <is>
          <t>STOCKHOLMS LÄN</t>
        </is>
      </c>
      <c r="E51" t="inlineStr">
        <is>
          <t>NYKVARN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54670-2023</t>
        </is>
      </c>
      <c r="B52" s="1" t="n">
        <v>45235</v>
      </c>
      <c r="C52" s="1" t="n">
        <v>46130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51813-2024</t>
        </is>
      </c>
      <c r="B53" s="1" t="n">
        <v>45607.48734953703</v>
      </c>
      <c r="C53" s="1" t="n">
        <v>46130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18793-2023</t>
        </is>
      </c>
      <c r="B54" s="1" t="n">
        <v>45044</v>
      </c>
      <c r="C54" s="1" t="n">
        <v>46130</v>
      </c>
      <c r="D54" t="inlineStr">
        <is>
          <t>STOCKHOLMS LÄN</t>
        </is>
      </c>
      <c r="E54" t="inlineStr">
        <is>
          <t>NYKVARN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22529-2022</t>
        </is>
      </c>
      <c r="B55" s="1" t="n">
        <v>44713</v>
      </c>
      <c r="C55" s="1" t="n">
        <v>46130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46130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46130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46130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46130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44947-2021</t>
        </is>
      </c>
      <c r="B60" s="1" t="n">
        <v>44438.69939814815</v>
      </c>
      <c r="C60" s="1" t="n">
        <v>46130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46130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46130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46130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46130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46130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15912-2026</t>
        </is>
      </c>
      <c r="B66" s="1" t="n">
        <v>46107.64332175926</v>
      </c>
      <c r="C66" s="1" t="n">
        <v>46130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46130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46130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46130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46130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46130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46130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18780-2026</t>
        </is>
      </c>
      <c r="B73" s="1" t="n">
        <v>46128.58193287037</v>
      </c>
      <c r="C73" s="1" t="n">
        <v>46130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46130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46130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46130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46130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46130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2172-2024</t>
        </is>
      </c>
      <c r="B79" s="1" t="n">
        <v>45309.63112268518</v>
      </c>
      <c r="C79" s="1" t="n">
        <v>46130</v>
      </c>
      <c r="D79" t="inlineStr">
        <is>
          <t>STOCKHOLMS LÄN</t>
        </is>
      </c>
      <c r="E79" t="inlineStr">
        <is>
          <t>NYKVARN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7926-2023</t>
        </is>
      </c>
      <c r="B80" s="1" t="n">
        <v>44973.6502662037</v>
      </c>
      <c r="C80" s="1" t="n">
        <v>46130</v>
      </c>
      <c r="D80" t="inlineStr">
        <is>
          <t>STOCKHOLMS LÄN</t>
        </is>
      </c>
      <c r="E80" t="inlineStr">
        <is>
          <t>NYKVARN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20711-2021</t>
        </is>
      </c>
      <c r="B81" s="1" t="n">
        <v>44316</v>
      </c>
      <c r="C81" s="1" t="n">
        <v>46130</v>
      </c>
      <c r="D81" t="inlineStr">
        <is>
          <t>STOCKHOLMS LÄN</t>
        </is>
      </c>
      <c r="E81" t="inlineStr">
        <is>
          <t>NYKVARN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23152-2021</t>
        </is>
      </c>
      <c r="B82" s="1" t="n">
        <v>44332</v>
      </c>
      <c r="C82" s="1" t="n">
        <v>46130</v>
      </c>
      <c r="D82" t="inlineStr">
        <is>
          <t>STOCKHOLMS LÄN</t>
        </is>
      </c>
      <c r="E82" t="inlineStr">
        <is>
          <t>NYKVARN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44969-2022</t>
        </is>
      </c>
      <c r="B83" s="1" t="n">
        <v>44841.58752314815</v>
      </c>
      <c r="C83" s="1" t="n">
        <v>46130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11430-2022</t>
        </is>
      </c>
      <c r="B84" s="1" t="n">
        <v>44630.5968287037</v>
      </c>
      <c r="C84" s="1" t="n">
        <v>46130</v>
      </c>
      <c r="D84" t="inlineStr">
        <is>
          <t>STOCKHOLMS LÄN</t>
        </is>
      </c>
      <c r="E84" t="inlineStr">
        <is>
          <t>NYKVARN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18222-2025</t>
        </is>
      </c>
      <c r="B85" s="1" t="n">
        <v>45761.7321875</v>
      </c>
      <c r="C85" s="1" t="n">
        <v>46130</v>
      </c>
      <c r="D85" t="inlineStr">
        <is>
          <t>STOCKHOLMS LÄN</t>
        </is>
      </c>
      <c r="E85" t="inlineStr">
        <is>
          <t>NYKVARN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2026-04-18T10:26:48Z</dcterms:created>
  <dcterms:modified xmlns:dcterms="http://purl.org/dc/terms/" xmlns:xsi="http://www.w3.org/2001/XMLSchema-instance" xsi:type="dcterms:W3CDTF">2026-04-18T10:26:48Z</dcterms:modified>
</cp:coreProperties>
</file>