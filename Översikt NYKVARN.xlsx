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46254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46254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46254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46254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46254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46254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11388-2024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45372</v>
      </c>
      <c r="E8" s="1" t="n">
        <v>46254</v>
      </c>
      <c r="F8" t="inlineStr">
        <is>
          <t>STOCKHOLMS LÄN</t>
        </is>
      </c>
      <c r="G8" t="inlineStr">
        <is>
          <t>NYKVARN</t>
        </is>
      </c>
      <c r="I8" t="n">
        <v>4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Igelkott</t>
        </is>
      </c>
      <c r="W8">
        <f>HYPERLINK("https://klasma.github.io/Logging_0140/artfynd/A 11388-2024 artfynd.xlsx", "A 11388-2024")</f>
        <v/>
      </c>
      <c r="X8">
        <f>HYPERLINK("https://klasma.github.io/Logging_0140/kartor/A 11388-2024 karta.png", "A 11388-2024")</f>
        <v/>
      </c>
      <c r="Y8">
        <f>HYPERLINK("https://klasma.github.io/Logging_0140/kartor_geotiff/A 11388-2024 georefererad karta.tif", "A 11388-2024")</f>
        <v/>
      </c>
      <c r="AA8">
        <f>HYPERLINK("https://klasma.github.io/Logging_0140/klagomål/A 11388-2024 FSC-klagomål.docx", "A 11388-2024")</f>
        <v/>
      </c>
      <c r="AB8">
        <f>HYPERLINK("https://klasma.github.io/Logging_0140/klagomålsmail/A 11388-2024 FSC-klagomål mail.docx", "A 11388-2024")</f>
        <v/>
      </c>
      <c r="AC8">
        <f>HYPERLINK("https://klasma.github.io/Logging_0140/tillsyn/A 11388-2024 tillsynsbegäran.docx", "A 11388-2024")</f>
        <v/>
      </c>
      <c r="AD8">
        <f>HYPERLINK("https://klasma.github.io/Logging_0140/tillsynsmail/A 11388-2024 tillsynsbegäran mail.docx", "A 11388-2024")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46254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HYPERLINK("https://klasma.github.io/Logging_0140/artfynd/A 25754-2023 artfynd.xlsx", "A 25754-2023")</f>
        <v/>
      </c>
      <c r="X9">
        <f>HYPERLINK("https://klasma.github.io/Logging_0140/kartor/A 25754-2023 karta.png", "A 25754-2023")</f>
        <v/>
      </c>
      <c r="Y9">
        <f>HYPERLINK("https://klasma.github.io/Logging_0140/kartor_geotiff/A 25754-2023 georefererad karta.tif", "A 25754-2023")</f>
        <v/>
      </c>
      <c r="AA9">
        <f>HYPERLINK("https://klasma.github.io/Logging_0140/klagomål/A 25754-2023 FSC-klagomål.docx", "A 25754-2023")</f>
        <v/>
      </c>
      <c r="AB9">
        <f>HYPERLINK("https://klasma.github.io/Logging_0140/klagomålsmail/A 25754-2023 FSC-klagomål mail.docx", "A 25754-2023")</f>
        <v/>
      </c>
      <c r="AC9">
        <f>HYPERLINK("https://klasma.github.io/Logging_0140/tillsyn/A 25754-2023 tillsynsbegäran.docx", "A 25754-2023")</f>
        <v/>
      </c>
      <c r="AD9">
        <f>HYPERLINK("https://klasma.github.io/Logging_0140/tillsynsmail/A 25754-2023 tillsynsbegäran mail.docx", "A 25754-2023")</f>
        <v/>
      </c>
      <c r="AE9">
        <f>HYPERLINK("https://klasma.github.io/Logging_0140/fåglar/A 25754-2023 prioriterade fågelarter.docx", "A 25754-2023")</f>
        <v/>
      </c>
    </row>
    <row r="10" ht="15" customHeight="1">
      <c r="A10" t="inlineStr">
        <is>
          <t>A 24790-2026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46171</v>
      </c>
      <c r="E10" s="1" t="n">
        <v>46254</v>
      </c>
      <c r="F10" t="inlineStr">
        <is>
          <t>STOCKHOLMS LÄN</t>
        </is>
      </c>
      <c r="G10" t="inlineStr">
        <is>
          <t>NYKVARN</t>
        </is>
      </c>
      <c r="H10" t="inlineStr">
        <is>
          <t>Kommuner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Kopparödla</t>
        </is>
      </c>
      <c r="W10">
        <f>HYPERLINK("https://klasma.github.io/Logging_0140/artfynd/A 24790-2026 artfynd.xlsx", "A 24790-2026")</f>
        <v/>
      </c>
      <c r="X10">
        <f>HYPERLINK("https://klasma.github.io/Logging_0140/kartor/A 24790-2026 karta.png", "A 24790-2026")</f>
        <v/>
      </c>
      <c r="Y10">
        <f>HYPERLINK("https://klasma.github.io/Logging_0140/kartor_geotiff/A 24790-2026 georefererad karta.tif", "A 24790-2026")</f>
        <v/>
      </c>
      <c r="AA10">
        <f>HYPERLINK("https://klasma.github.io/Logging_0140/klagomål/A 24790-2026 FSC-klagomål.docx", "A 24790-2026")</f>
        <v/>
      </c>
      <c r="AB10">
        <f>HYPERLINK("https://klasma.github.io/Logging_0140/klagomålsmail/A 24790-2026 FSC-klagomål mail.docx", "A 24790-2026")</f>
        <v/>
      </c>
      <c r="AC10">
        <f>HYPERLINK("https://klasma.github.io/Logging_0140/tillsyn/A 24790-2026 tillsynsbegäran.docx", "A 24790-2026")</f>
        <v/>
      </c>
      <c r="AD10">
        <f>HYPERLINK("https://klasma.github.io/Logging_0140/tillsynsmail/A 24790-2026 tillsynsbegäran mail.docx", "A 24790-2026")</f>
        <v/>
      </c>
    </row>
    <row r="11" ht="15" customHeight="1">
      <c r="A11" t="inlineStr">
        <is>
          <t>A 59342-2025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46254</v>
      </c>
      <c r="F11" t="inlineStr">
        <is>
          <t>STOCKHOLMS LÄN</t>
        </is>
      </c>
      <c r="G11" t="inlineStr">
        <is>
          <t>NYKVARN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Kösa</t>
        </is>
      </c>
      <c r="W11">
        <f>HYPERLINK("https://klasma.github.io/Logging_0140/artfynd/A 59342-2025 artfynd.xlsx", "A 59342-2025")</f>
        <v/>
      </c>
      <c r="X11">
        <f>HYPERLINK("https://klasma.github.io/Logging_0140/kartor/A 59342-2025 karta.png", "A 59342-2025")</f>
        <v/>
      </c>
      <c r="Y11">
        <f>HYPERLINK("https://klasma.github.io/Logging_0140/kartor_geotiff/A 59342-2025 georefererad karta.tif", "A 59342-2025")</f>
        <v/>
      </c>
      <c r="AA11">
        <f>HYPERLINK("https://klasma.github.io/Logging_0140/klagomål/A 59342-2025 FSC-klagomål.docx", "A 59342-2025")</f>
        <v/>
      </c>
      <c r="AB11">
        <f>HYPERLINK("https://klasma.github.io/Logging_0140/klagomålsmail/A 59342-2025 FSC-klagomål mail.docx", "A 59342-2025")</f>
        <v/>
      </c>
      <c r="AC11">
        <f>HYPERLINK("https://klasma.github.io/Logging_0140/tillsyn/A 59342-2025 tillsynsbegäran.docx", "A 59342-2025")</f>
        <v/>
      </c>
      <c r="AD11">
        <f>HYPERLINK("https://klasma.github.io/Logging_0140/tillsynsmail/A 59342-2025 tillsynsbegäran mail.docx", "A 59342-2025")</f>
        <v/>
      </c>
    </row>
    <row r="12" ht="15" customHeight="1">
      <c r="A12" t="inlineStr">
        <is>
          <t>A 37597-2024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46254</v>
      </c>
      <c r="F12" t="inlineStr">
        <is>
          <t>STOCKHOLMS LÄN</t>
        </is>
      </c>
      <c r="G12" t="inlineStr">
        <is>
          <t>NYKVARN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Röd glada</t>
        </is>
      </c>
      <c r="W12">
        <f>HYPERLINK("https://klasma.github.io/Logging_0140/artfynd/A 37597-2024 artfynd.xlsx", "A 37597-2024")</f>
        <v/>
      </c>
      <c r="X12">
        <f>HYPERLINK("https://klasma.github.io/Logging_0140/kartor/A 37597-2024 karta.png", "A 37597-2024")</f>
        <v/>
      </c>
      <c r="Y12">
        <f>HYPERLINK("https://klasma.github.io/Logging_0140/kartor_geotiff/A 37597-2024 georefererad karta.tif", "A 37597-2024")</f>
        <v/>
      </c>
      <c r="AA12">
        <f>HYPERLINK("https://klasma.github.io/Logging_0140/klagomål/A 37597-2024 FSC-klagomål.docx", "A 37597-2024")</f>
        <v/>
      </c>
      <c r="AB12">
        <f>HYPERLINK("https://klasma.github.io/Logging_0140/klagomålsmail/A 37597-2024 FSC-klagomål mail.docx", "A 37597-2024")</f>
        <v/>
      </c>
      <c r="AC12">
        <f>HYPERLINK("https://klasma.github.io/Logging_0140/tillsyn/A 37597-2024 tillsynsbegäran.docx", "A 37597-2024")</f>
        <v/>
      </c>
      <c r="AD12">
        <f>HYPERLINK("https://klasma.github.io/Logging_0140/tillsynsmail/A 37597-2024 tillsynsbegäran mail.docx", "A 37597-2024")</f>
        <v/>
      </c>
      <c r="AE12">
        <f>HYPERLINK("https://klasma.github.io/Logging_0140/fåglar/A 37597-2024 prioriterade fågelarter.docx", "A 37597-2024")</f>
        <v/>
      </c>
    </row>
    <row r="13" ht="15" customHeight="1">
      <c r="A13" t="inlineStr">
        <is>
          <t>A 39539-2023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45167</v>
      </c>
      <c r="E13" s="1" t="n">
        <v>46254</v>
      </c>
      <c r="F13" t="inlineStr">
        <is>
          <t>STOCKHOLMS LÄN</t>
        </is>
      </c>
      <c r="G13" t="inlineStr">
        <is>
          <t>NYKVARN</t>
        </is>
      </c>
      <c r="I13" t="n">
        <v>2.3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HYPERLINK("https://klasma.github.io/Logging_0140/artfynd/A 39539-2023 artfynd.xlsx", "A 39539-2023")</f>
        <v/>
      </c>
      <c r="X13">
        <f>HYPERLINK("https://klasma.github.io/Logging_0140/kartor/A 39539-2023 karta.png", "A 39539-2023")</f>
        <v/>
      </c>
      <c r="Y13">
        <f>HYPERLINK("https://klasma.github.io/Logging_0140/kartor_geotiff/A 39539-2023 georefererad karta.tif", "A 39539-2023")</f>
        <v/>
      </c>
      <c r="AA13">
        <f>HYPERLINK("https://klasma.github.io/Logging_0140/klagomål/A 39539-2023 FSC-klagomål.docx", "A 39539-2023")</f>
        <v/>
      </c>
      <c r="AB13">
        <f>HYPERLINK("https://klasma.github.io/Logging_0140/klagomålsmail/A 39539-2023 FSC-klagomål mail.docx", "A 39539-2023")</f>
        <v/>
      </c>
      <c r="AC13">
        <f>HYPERLINK("https://klasma.github.io/Logging_0140/tillsyn/A 39539-2023 tillsynsbegäran.docx", "A 39539-2023")</f>
        <v/>
      </c>
      <c r="AD13">
        <f>HYPERLINK("https://klasma.github.io/Logging_0140/tillsynsmail/A 39539-2023 tillsynsbegäran mail.docx", "A 39539-2023")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46254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8285-2022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44610</v>
      </c>
      <c r="E15" s="1" t="n">
        <v>46254</v>
      </c>
      <c r="F15" t="inlineStr">
        <is>
          <t>STOCKHOLMS LÄN</t>
        </is>
      </c>
      <c r="G15" t="inlineStr">
        <is>
          <t>NYKVARN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8285-2022 artfynd.xlsx", "A 8285-2022")</f>
        <v/>
      </c>
      <c r="X15">
        <f>HYPERLINK("https://klasma.github.io/Logging_0140/kartor/A 8285-2022 karta.png", "A 8285-2022")</f>
        <v/>
      </c>
      <c r="Y15">
        <f>HYPERLINK("https://klasma.github.io/Logging_0140/kartor_geotiff/A 8285-2022 georefererad karta.tif", "A 8285-2022")</f>
        <v/>
      </c>
      <c r="AA15">
        <f>HYPERLINK("https://klasma.github.io/Logging_0140/klagomål/A 8285-2022 FSC-klagomål.docx", "A 8285-2022")</f>
        <v/>
      </c>
      <c r="AB15">
        <f>HYPERLINK("https://klasma.github.io/Logging_0140/klagomålsmail/A 8285-2022 FSC-klagomål mail.docx", "A 8285-2022")</f>
        <v/>
      </c>
      <c r="AC15">
        <f>HYPERLINK("https://klasma.github.io/Logging_0140/tillsyn/A 8285-2022 tillsynsbegäran.docx", "A 8285-2022")</f>
        <v/>
      </c>
      <c r="AD15">
        <f>HYPERLINK("https://klasma.github.io/Logging_0140/tillsynsmail/A 8285-2022 tillsynsbegäran mail.docx", "A 8285-2022")</f>
        <v/>
      </c>
    </row>
    <row r="16" ht="15" customHeight="1">
      <c r="A16" t="inlineStr">
        <is>
          <t>A 11393-2022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44630</v>
      </c>
      <c r="E16" s="1" t="n">
        <v>46254</v>
      </c>
      <c r="F16" t="inlineStr">
        <is>
          <t>STOCKHOLMS LÄN</t>
        </is>
      </c>
      <c r="G16" t="inlineStr">
        <is>
          <t>NYKVARN</t>
        </is>
      </c>
      <c r="I16" t="n">
        <v>3.8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Björksplintborre</t>
        </is>
      </c>
      <c r="W16">
        <f>HYPERLINK("https://klasma.github.io/Logging_0140/artfynd/A 11393-2022 artfynd.xlsx", "A 11393-2022")</f>
        <v/>
      </c>
      <c r="X16">
        <f>HYPERLINK("https://klasma.github.io/Logging_0140/kartor/A 11393-2022 karta.png", "A 11393-2022")</f>
        <v/>
      </c>
      <c r="Y16">
        <f>HYPERLINK("https://klasma.github.io/Logging_0140/kartor_geotiff/A 11393-2022 georefererad karta.tif", "A 11393-2022")</f>
        <v/>
      </c>
      <c r="AA16">
        <f>HYPERLINK("https://klasma.github.io/Logging_0140/klagomål/A 11393-2022 FSC-klagomål.docx", "A 11393-2022")</f>
        <v/>
      </c>
      <c r="AB16">
        <f>HYPERLINK("https://klasma.github.io/Logging_0140/klagomålsmail/A 11393-2022 FSC-klagomål mail.docx", "A 11393-2022")</f>
        <v/>
      </c>
      <c r="AC16">
        <f>HYPERLINK("https://klasma.github.io/Logging_0140/tillsyn/A 11393-2022 tillsynsbegäran.docx", "A 11393-2022")</f>
        <v/>
      </c>
      <c r="AD16">
        <f>HYPERLINK("https://klasma.github.io/Logging_0140/tillsynsmail/A 11393-2022 tillsynsbegäran mail.docx", "A 11393-2022")</f>
        <v/>
      </c>
    </row>
    <row r="17" ht="15" customHeight="1">
      <c r="A17" t="inlineStr">
        <is>
          <t>A 15912-2026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46107</v>
      </c>
      <c r="E17" s="1" t="n">
        <v>46254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12.9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Skogsödla</t>
        </is>
      </c>
      <c r="W17">
        <f>HYPERLINK("https://klasma.github.io/Logging_0140/artfynd/A 15912-2026 artfynd.xlsx", "A 15912-2026")</f>
        <v/>
      </c>
      <c r="X17">
        <f>HYPERLINK("https://klasma.github.io/Logging_0140/kartor/A 15912-2026 karta.png", "A 15912-2026")</f>
        <v/>
      </c>
      <c r="Y17">
        <f>HYPERLINK("https://klasma.github.io/Logging_0140/kartor_geotiff/A 15912-2026 georefererad karta.tif", "A 15912-2026")</f>
        <v/>
      </c>
      <c r="AA17">
        <f>HYPERLINK("https://klasma.github.io/Logging_0140/klagomål/A 15912-2026 FSC-klagomål.docx", "A 15912-2026")</f>
        <v/>
      </c>
      <c r="AB17">
        <f>HYPERLINK("https://klasma.github.io/Logging_0140/klagomålsmail/A 15912-2026 FSC-klagomål mail.docx", "A 15912-2026")</f>
        <v/>
      </c>
      <c r="AC17">
        <f>HYPERLINK("https://klasma.github.io/Logging_0140/tillsyn/A 15912-2026 tillsynsbegäran.docx", "A 15912-2026")</f>
        <v/>
      </c>
      <c r="AD17">
        <f>HYPERLINK("https://klasma.github.io/Logging_0140/tillsynsmail/A 15912-2026 tillsynsbegäran mail.docx", "A 15912-2026")</f>
        <v/>
      </c>
    </row>
    <row r="18" ht="15" customHeight="1">
      <c r="A18" t="inlineStr">
        <is>
          <t>A 17009-2026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46254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8.699999999999999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Mattlummer</t>
        </is>
      </c>
      <c r="W18">
        <f>HYPERLINK("https://klasma.github.io/Logging_0140/artfynd/A 17009-2026 artfynd.xlsx", "A 17009-2026")</f>
        <v/>
      </c>
      <c r="X18">
        <f>HYPERLINK("https://klasma.github.io/Logging_0140/kartor/A 17009-2026 karta.png", "A 17009-2026")</f>
        <v/>
      </c>
      <c r="Y18">
        <f>HYPERLINK("https://klasma.github.io/Logging_0140/kartor_geotiff/A 17009-2026 georefererad karta.tif", "A 17009-2026")</f>
        <v/>
      </c>
      <c r="AA18">
        <f>HYPERLINK("https://klasma.github.io/Logging_0140/klagomål/A 17009-2026 FSC-klagomål.docx", "A 17009-2026")</f>
        <v/>
      </c>
      <c r="AB18">
        <f>HYPERLINK("https://klasma.github.io/Logging_0140/klagomålsmail/A 17009-2026 FSC-klagomål mail.docx", "A 17009-2026")</f>
        <v/>
      </c>
      <c r="AC18">
        <f>HYPERLINK("https://klasma.github.io/Logging_0140/tillsyn/A 17009-2026 tillsynsbegäran.docx", "A 17009-2026")</f>
        <v/>
      </c>
      <c r="AD18">
        <f>HYPERLINK("https://klasma.github.io/Logging_0140/tillsynsmail/A 17009-2026 tillsynsbegäran mail.docx", "A 17009-2026")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46254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46254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46254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46254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46254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46254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46254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46254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46254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46254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46254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46254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46254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46254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46254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46254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52878-2022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44872</v>
      </c>
      <c r="E35" s="1" t="n">
        <v>46254</v>
      </c>
      <c r="F35" t="inlineStr">
        <is>
          <t>STOCKHOLMS LÄN</t>
        </is>
      </c>
      <c r="G35" t="inlineStr">
        <is>
          <t>NYKVARN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44969-2022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46254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46254</v>
      </c>
      <c r="F37" t="inlineStr">
        <is>
          <t>STOCKHOLMS LÄN</t>
        </is>
      </c>
      <c r="G37" t="inlineStr">
        <is>
          <t>NYKVARN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51787-2021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44462</v>
      </c>
      <c r="E38" s="1" t="n">
        <v>46254</v>
      </c>
      <c r="F38" t="inlineStr">
        <is>
          <t>STOCKHOLMS LÄN</t>
        </is>
      </c>
      <c r="G38" t="inlineStr">
        <is>
          <t>NYKVARN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46254</v>
      </c>
      <c r="F39" t="inlineStr">
        <is>
          <t>STOCKHOLMS LÄN</t>
        </is>
      </c>
      <c r="G39" t="inlineStr">
        <is>
          <t>NYKVARN</t>
        </is>
      </c>
      <c r="H39" t="inlineStr">
        <is>
          <t>Kyrkan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46254</v>
      </c>
      <c r="F40" t="inlineStr">
        <is>
          <t>STOCKHOLMS LÄN</t>
        </is>
      </c>
      <c r="G40" t="inlineStr">
        <is>
          <t>NYKVARN</t>
        </is>
      </c>
      <c r="H40" t="inlineStr">
        <is>
          <t>Kommuner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32555-2023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45121</v>
      </c>
      <c r="E41" s="1" t="n">
        <v>46254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46254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46254</v>
      </c>
      <c r="F43" t="inlineStr">
        <is>
          <t>STOCKHOLMS LÄN</t>
        </is>
      </c>
      <c r="G43" t="inlineStr">
        <is>
          <t>NYKVARN</t>
        </is>
      </c>
      <c r="H43" t="inlineStr">
        <is>
          <t>Allmännings- och besparingsskogar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44947-2021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46254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11.3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46254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46254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46254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41681-2023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46254</v>
      </c>
      <c r="F48" t="inlineStr">
        <is>
          <t>STOCKHOLMS LÄN</t>
        </is>
      </c>
      <c r="G48" t="inlineStr">
        <is>
          <t>NYKVARN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24283-2022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46254</v>
      </c>
      <c r="F49" t="inlineStr">
        <is>
          <t>STOCKHOLMS LÄN</t>
        </is>
      </c>
      <c r="G49" t="inlineStr">
        <is>
          <t>NYKVARN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8096-2023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46254</v>
      </c>
      <c r="F50" t="inlineStr">
        <is>
          <t>STOCKHOLMS LÄN</t>
        </is>
      </c>
      <c r="G50" t="inlineStr">
        <is>
          <t>NYKVARN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24796-2026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46254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45233</v>
      </c>
      <c r="E52" s="1" t="n">
        <v>46254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45235</v>
      </c>
      <c r="E53" s="1" t="n">
        <v>46254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36986-2025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45874</v>
      </c>
      <c r="E54" s="1" t="n">
        <v>46254</v>
      </c>
      <c r="F54" t="inlineStr">
        <is>
          <t>STOCKHOLMS LÄN</t>
        </is>
      </c>
      <c r="G54" t="inlineStr">
        <is>
          <t>NYKVARN</t>
        </is>
      </c>
      <c r="I54" t="n">
        <v>10.6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45756</v>
      </c>
      <c r="E55" s="1" t="n">
        <v>46254</v>
      </c>
      <c r="F55" t="inlineStr">
        <is>
          <t>STOCKHOLMS LÄN</t>
        </is>
      </c>
      <c r="G55" t="inlineStr">
        <is>
          <t>NYKVARN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46227</v>
      </c>
      <c r="E56" s="1" t="n">
        <v>46254</v>
      </c>
      <c r="F56" t="inlineStr">
        <is>
          <t>STOCKHOLMS LÄN</t>
        </is>
      </c>
      <c r="G56" t="inlineStr">
        <is>
          <t>NYKVARN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46227</v>
      </c>
      <c r="E57" s="1" t="n">
        <v>46254</v>
      </c>
      <c r="F57" t="inlineStr">
        <is>
          <t>STOCKHOLMS LÄN</t>
        </is>
      </c>
      <c r="G57" t="inlineStr">
        <is>
          <t>NYKVARN</t>
        </is>
      </c>
      <c r="I57" t="n">
        <v>9.300000000000001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46254</v>
      </c>
      <c r="F58" t="inlineStr">
        <is>
          <t>STOCKHOLMS LÄN</t>
        </is>
      </c>
      <c r="G58" t="inlineStr">
        <is>
          <t>NYKVARN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46254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45274</v>
      </c>
      <c r="E60" s="1" t="n">
        <v>46254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19487-2023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45050</v>
      </c>
      <c r="E61" s="1" t="n">
        <v>46254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45044</v>
      </c>
      <c r="E62" s="1" t="n">
        <v>46254</v>
      </c>
      <c r="F62" t="inlineStr">
        <is>
          <t>STOCKHOLMS LÄN</t>
        </is>
      </c>
      <c r="G62" t="inlineStr">
        <is>
          <t>NYKVARN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46254</v>
      </c>
      <c r="F63" t="inlineStr">
        <is>
          <t>STOCKHOLMS LÄN</t>
        </is>
      </c>
      <c r="G63" t="inlineStr">
        <is>
          <t>NYKVARN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63586-2023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45275</v>
      </c>
      <c r="E64" s="1" t="n">
        <v>46254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46254</v>
      </c>
      <c r="F65" t="inlineStr">
        <is>
          <t>STOCKHOLMS LÄN</t>
        </is>
      </c>
      <c r="G65" t="inlineStr">
        <is>
          <t>NYKVARN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44730</v>
      </c>
      <c r="E66" s="1" t="n">
        <v>46254</v>
      </c>
      <c r="F66" t="inlineStr">
        <is>
          <t>STOCKHOLMS LÄN</t>
        </is>
      </c>
      <c r="G66" t="inlineStr">
        <is>
          <t>NYKVARN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71540-2021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44540</v>
      </c>
      <c r="E67" s="1" t="n">
        <v>46254</v>
      </c>
      <c r="F67" t="inlineStr">
        <is>
          <t>STOCKHOLMS LÄN</t>
        </is>
      </c>
      <c r="G67" t="inlineStr">
        <is>
          <t>NYKVARN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44973</v>
      </c>
      <c r="E68" s="1" t="n">
        <v>46254</v>
      </c>
      <c r="F68" t="inlineStr">
        <is>
          <t>STOCKHOLMS LÄN</t>
        </is>
      </c>
      <c r="G68" t="inlineStr">
        <is>
          <t>NYKVARN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46254</v>
      </c>
      <c r="F69" t="inlineStr">
        <is>
          <t>STOCKHOLMS LÄN</t>
        </is>
      </c>
      <c r="G69" t="inlineStr">
        <is>
          <t>NYKVARN</t>
        </is>
      </c>
      <c r="H69" t="inlineStr">
        <is>
          <t>Allmännings- och besparingsskogar</t>
        </is>
      </c>
      <c r="I69" t="n">
        <v>8.4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59348-2025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45989</v>
      </c>
      <c r="E70" s="1" t="n">
        <v>46254</v>
      </c>
      <c r="F70" t="inlineStr">
        <is>
          <t>STOCKHOLMS LÄN</t>
        </is>
      </c>
      <c r="G70" t="inlineStr">
        <is>
          <t>NYKVARN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19903-2023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46254</v>
      </c>
      <c r="F71" t="inlineStr">
        <is>
          <t>STOCKHOLMS LÄN</t>
        </is>
      </c>
      <c r="G71" t="inlineStr">
        <is>
          <t>NYKVARN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46254</v>
      </c>
      <c r="F72" t="inlineStr">
        <is>
          <t>STOCKHOLMS LÄN</t>
        </is>
      </c>
      <c r="G72" t="inlineStr">
        <is>
          <t>NYKVARN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46254</v>
      </c>
      <c r="F73" t="inlineStr">
        <is>
          <t>STOCKHOLMS LÄN</t>
        </is>
      </c>
      <c r="G73" t="inlineStr">
        <is>
          <t>NYKVARN</t>
        </is>
      </c>
      <c r="H73" t="inlineStr">
        <is>
          <t>Sveaskog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46254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63592-2023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45275</v>
      </c>
      <c r="E75" s="1" t="n">
        <v>46254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45761</v>
      </c>
      <c r="E76" s="1" t="n">
        <v>46254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46254</v>
      </c>
      <c r="F77" t="inlineStr">
        <is>
          <t>STOCKHOLMS LÄN</t>
        </is>
      </c>
      <c r="G77" t="inlineStr">
        <is>
          <t>NYKVARN</t>
        </is>
      </c>
      <c r="H77" t="inlineStr">
        <is>
          <t>Allmännings- och besparingsskogar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18780-2026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46254</v>
      </c>
      <c r="F78" t="inlineStr">
        <is>
          <t>STOCKHOLMS LÄN</t>
        </is>
      </c>
      <c r="G78" t="inlineStr">
        <is>
          <t>NYKVARN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19217-2026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46254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45309</v>
      </c>
      <c r="E80" s="1" t="n">
        <v>46254</v>
      </c>
      <c r="F80" t="inlineStr">
        <is>
          <t>STOCKHOLMS LÄN</t>
        </is>
      </c>
      <c r="G80" t="inlineStr">
        <is>
          <t>NYKVARN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46254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46254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46254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46254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2026-08-20T01:45:32Z</dcterms:created>
  <dcterms:modified xmlns:dcterms="http://purl.org/dc/terms/" xmlns:xsi="http://www.w3.org/2001/XMLSchema-instance" xsi:type="dcterms:W3CDTF">2026-08-20T01:45:32Z</dcterms:modified>
</cp:coreProperties>
</file>