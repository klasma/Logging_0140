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46123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46123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46123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46123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46123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46123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46123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46123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46123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46123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46123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46123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17009-2026</t>
        </is>
      </c>
      <c r="B14" s="1" t="n">
        <v>46114.43309027778</v>
      </c>
      <c r="C14" s="1" t="n">
        <v>46123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8.699999999999999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HYPERLINK("https://klasma.github.io/Logging_0140/artfynd/A 17009-2026 artfynd.xlsx", "A 17009-2026")</f>
        <v/>
      </c>
      <c r="T14">
        <f>HYPERLINK("https://klasma.github.io/Logging_0140/kartor/A 17009-2026 karta.png", "A 17009-2026")</f>
        <v/>
      </c>
      <c r="V14">
        <f>HYPERLINK("https://klasma.github.io/Logging_0140/klagomål/A 17009-2026 FSC-klagomål.docx", "A 17009-2026")</f>
        <v/>
      </c>
      <c r="W14">
        <f>HYPERLINK("https://klasma.github.io/Logging_0140/klagomålsmail/A 17009-2026 FSC-klagomål mail.docx", "A 17009-2026")</f>
        <v/>
      </c>
      <c r="X14">
        <f>HYPERLINK("https://klasma.github.io/Logging_0140/tillsyn/A 17009-2026 tillsynsbegäran.docx", "A 17009-2026")</f>
        <v/>
      </c>
      <c r="Y14">
        <f>HYPERLINK("https://klasma.github.io/Logging_0140/tillsynsmail/A 17009-2026 tillsynsbegäran mail.docx", "A 17009-2026")</f>
        <v/>
      </c>
    </row>
    <row r="15" ht="15" customHeight="1">
      <c r="A15" t="inlineStr">
        <is>
          <t>A 11393-2022</t>
        </is>
      </c>
      <c r="B15" s="1" t="n">
        <v>44630</v>
      </c>
      <c r="C15" s="1" t="n">
        <v>46123</v>
      </c>
      <c r="D15" t="inlineStr">
        <is>
          <t>STOCKHOLMS LÄN</t>
        </is>
      </c>
      <c r="E15" t="inlineStr">
        <is>
          <t>NYKVARN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HYPERLINK("https://klasma.github.io/Logging_0140/artfynd/A 11393-2022 artfynd.xlsx", "A 11393-2022")</f>
        <v/>
      </c>
      <c r="T15">
        <f>HYPERLINK("https://klasma.github.io/Logging_0140/kartor/A 11393-2022 karta.png", "A 11393-2022")</f>
        <v/>
      </c>
      <c r="V15">
        <f>HYPERLINK("https://klasma.github.io/Logging_0140/klagomål/A 11393-2022 FSC-klagomål.docx", "A 11393-2022")</f>
        <v/>
      </c>
      <c r="W15">
        <f>HYPERLINK("https://klasma.github.io/Logging_0140/klagomålsmail/A 11393-2022 FSC-klagomål mail.docx", "A 11393-2022")</f>
        <v/>
      </c>
      <c r="X15">
        <f>HYPERLINK("https://klasma.github.io/Logging_0140/tillsyn/A 11393-2022 tillsynsbegäran.docx", "A 11393-2022")</f>
        <v/>
      </c>
      <c r="Y15">
        <f>HYPERLINK("https://klasma.github.io/Logging_0140/tillsynsmail/A 11393-2022 tillsynsbegäran mail.docx", "A 11393-2022")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46123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46123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46123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46123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46123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46123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46123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46123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46123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46123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51787-2021</t>
        </is>
      </c>
      <c r="B26" s="1" t="n">
        <v>44462</v>
      </c>
      <c r="C26" s="1" t="n">
        <v>46123</v>
      </c>
      <c r="D26" t="inlineStr">
        <is>
          <t>STOCKHOLMS LÄN</t>
        </is>
      </c>
      <c r="E26" t="inlineStr">
        <is>
          <t>NYKVARN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46123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52963-2022</t>
        </is>
      </c>
      <c r="B28" s="1" t="n">
        <v>44875</v>
      </c>
      <c r="C28" s="1" t="n">
        <v>46123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46123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46123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11996-2022</t>
        </is>
      </c>
      <c r="B31" s="1" t="n">
        <v>44635</v>
      </c>
      <c r="C31" s="1" t="n">
        <v>46123</v>
      </c>
      <c r="D31" t="inlineStr">
        <is>
          <t>STOCKHOLMS LÄN</t>
        </is>
      </c>
      <c r="E31" t="inlineStr">
        <is>
          <t>NYKVARN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53307-2023</t>
        </is>
      </c>
      <c r="B32" s="1" t="n">
        <v>45229</v>
      </c>
      <c r="C32" s="1" t="n">
        <v>46123</v>
      </c>
      <c r="D32" t="inlineStr">
        <is>
          <t>STOCKHOLMS LÄN</t>
        </is>
      </c>
      <c r="E32" t="inlineStr">
        <is>
          <t>NYKVARN</t>
        </is>
      </c>
      <c r="F32" t="inlineStr">
        <is>
          <t>Kyrkan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46123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22531-2022</t>
        </is>
      </c>
      <c r="B34" s="1" t="n">
        <v>44713</v>
      </c>
      <c r="C34" s="1" t="n">
        <v>46123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52878-2022</t>
        </is>
      </c>
      <c r="B35" s="1" t="n">
        <v>44872</v>
      </c>
      <c r="C35" s="1" t="n">
        <v>46123</v>
      </c>
      <c r="D35" t="inlineStr">
        <is>
          <t>STOCKHOLMS LÄN</t>
        </is>
      </c>
      <c r="E35" t="inlineStr">
        <is>
          <t>NYKVARN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46123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23152-2021</t>
        </is>
      </c>
      <c r="B37" s="1" t="n">
        <v>44332</v>
      </c>
      <c r="C37" s="1" t="n">
        <v>46123</v>
      </c>
      <c r="D37" t="inlineStr">
        <is>
          <t>STOCKHOLMS LÄN</t>
        </is>
      </c>
      <c r="E37" t="inlineStr">
        <is>
          <t>NYKVARN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46123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45121.43032407408</v>
      </c>
      <c r="C39" s="1" t="n">
        <v>46123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46123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46123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43230-2022</t>
        </is>
      </c>
      <c r="B42" s="1" t="n">
        <v>44834</v>
      </c>
      <c r="C42" s="1" t="n">
        <v>46123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44947-2021</t>
        </is>
      </c>
      <c r="B43" s="1" t="n">
        <v>44438.69939814815</v>
      </c>
      <c r="C43" s="1" t="n">
        <v>46123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44969-2022</t>
        </is>
      </c>
      <c r="B44" s="1" t="n">
        <v>44841.58752314815</v>
      </c>
      <c r="C44" s="1" t="n">
        <v>46123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2172-2024</t>
        </is>
      </c>
      <c r="B45" s="1" t="n">
        <v>45309.63112268518</v>
      </c>
      <c r="C45" s="1" t="n">
        <v>46123</v>
      </c>
      <c r="D45" t="inlineStr">
        <is>
          <t>STOCKHOLMS LÄN</t>
        </is>
      </c>
      <c r="E45" t="inlineStr">
        <is>
          <t>NYKVARN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2177-2024</t>
        </is>
      </c>
      <c r="B46" s="1" t="n">
        <v>45309.64600694444</v>
      </c>
      <c r="C46" s="1" t="n">
        <v>46123</v>
      </c>
      <c r="D46" t="inlineStr">
        <is>
          <t>STOCKHOLMS LÄN</t>
        </is>
      </c>
      <c r="E46" t="inlineStr">
        <is>
          <t>NYKVARN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46123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23284-2025</t>
        </is>
      </c>
      <c r="B48" s="1" t="n">
        <v>45791.57525462963</v>
      </c>
      <c r="C48" s="1" t="n">
        <v>46123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23655-2025</t>
        </is>
      </c>
      <c r="B49" s="1" t="n">
        <v>45792</v>
      </c>
      <c r="C49" s="1" t="n">
        <v>46123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46123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46123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46123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26763-2025</t>
        </is>
      </c>
      <c r="B53" s="1" t="n">
        <v>45810.56418981482</v>
      </c>
      <c r="C53" s="1" t="n">
        <v>46123</v>
      </c>
      <c r="D53" t="inlineStr">
        <is>
          <t>STOCKHOLMS LÄN</t>
        </is>
      </c>
      <c r="E53" t="inlineStr">
        <is>
          <t>NYKVARN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46123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24283-2022</t>
        </is>
      </c>
      <c r="B55" s="1" t="n">
        <v>44725.79453703704</v>
      </c>
      <c r="C55" s="1" t="n">
        <v>46123</v>
      </c>
      <c r="D55" t="inlineStr">
        <is>
          <t>STOCKHOLMS LÄN</t>
        </is>
      </c>
      <c r="E55" t="inlineStr">
        <is>
          <t>NYKVARN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46123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28607-2025</t>
        </is>
      </c>
      <c r="B57" s="1" t="n">
        <v>45819.60226851852</v>
      </c>
      <c r="C57" s="1" t="n">
        <v>46123</v>
      </c>
      <c r="D57" t="inlineStr">
        <is>
          <t>STOCKHOLMS LÄN</t>
        </is>
      </c>
      <c r="E57" t="inlineStr">
        <is>
          <t>NYKVARN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8096-2023</t>
        </is>
      </c>
      <c r="B58" s="1" t="n">
        <v>44974.389375</v>
      </c>
      <c r="C58" s="1" t="n">
        <v>46123</v>
      </c>
      <c r="D58" t="inlineStr">
        <is>
          <t>STOCKHOLMS LÄN</t>
        </is>
      </c>
      <c r="E58" t="inlineStr">
        <is>
          <t>NYKVARN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59342-2025</t>
        </is>
      </c>
      <c r="B59" s="1" t="n">
        <v>45989.38784722222</v>
      </c>
      <c r="C59" s="1" t="n">
        <v>46123</v>
      </c>
      <c r="D59" t="inlineStr">
        <is>
          <t>STOCKHOLMS LÄN</t>
        </is>
      </c>
      <c r="E59" t="inlineStr">
        <is>
          <t>NYKVARN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59348-2025</t>
        </is>
      </c>
      <c r="B60" s="1" t="n">
        <v>45989.40099537037</v>
      </c>
      <c r="C60" s="1" t="n">
        <v>46123</v>
      </c>
      <c r="D60" t="inlineStr">
        <is>
          <t>STOCKHOLMS LÄN</t>
        </is>
      </c>
      <c r="E60" t="inlineStr">
        <is>
          <t>NYKVARN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46123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46123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46123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46123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46123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46123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46123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46123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46123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46123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46123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46123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46123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46123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39539-2023</t>
        </is>
      </c>
      <c r="B75" s="1" t="n">
        <v>45167</v>
      </c>
      <c r="C75" s="1" t="n">
        <v>46123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46123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46123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53337-2023</t>
        </is>
      </c>
      <c r="B78" s="1" t="n">
        <v>45229.63960648148</v>
      </c>
      <c r="C78" s="1" t="n">
        <v>46123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15912-2026</t>
        </is>
      </c>
      <c r="B79" s="1" t="n">
        <v>46107.64332175926</v>
      </c>
      <c r="C79" s="1" t="n">
        <v>46123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51813-2024</t>
        </is>
      </c>
      <c r="B80" s="1" t="n">
        <v>45607.48734953703</v>
      </c>
      <c r="C80" s="1" t="n">
        <v>46123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11045-2026</t>
        </is>
      </c>
      <c r="B81" s="1" t="n">
        <v>46079.58353009259</v>
      </c>
      <c r="C81" s="1" t="n">
        <v>46123</v>
      </c>
      <c r="D81" t="inlineStr">
        <is>
          <t>STOCKHOLMS LÄN</t>
        </is>
      </c>
      <c r="E81" t="inlineStr">
        <is>
          <t>NYKVARN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6854-2022</t>
        </is>
      </c>
      <c r="B82" s="1" t="n">
        <v>44602</v>
      </c>
      <c r="C82" s="1" t="n">
        <v>46123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63592-2023</t>
        </is>
      </c>
      <c r="B83" s="1" t="n">
        <v>45275</v>
      </c>
      <c r="C83" s="1" t="n">
        <v>46123</v>
      </c>
      <c r="D83" t="inlineStr">
        <is>
          <t>STOCKHOLMS LÄN</t>
        </is>
      </c>
      <c r="E83" t="inlineStr">
        <is>
          <t>NYKVARN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18222-2025</t>
        </is>
      </c>
      <c r="B84" s="1" t="n">
        <v>45761.7321875</v>
      </c>
      <c r="C84" s="1" t="n">
        <v>46123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2026-04-11T10:34:50Z</dcterms:created>
  <dcterms:modified xmlns:dcterms="http://purl.org/dc/terms/" xmlns:xsi="http://www.w3.org/2001/XMLSchema-instance" xsi:type="dcterms:W3CDTF">2026-04-11T10:34:50Z</dcterms:modified>
</cp:coreProperties>
</file>