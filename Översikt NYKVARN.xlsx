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46312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46312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46312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46312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46312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46312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46312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46312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46312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46312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46312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HYPERLINK("https://klasma.github.io/Logging_0140/artfynd/A 25754-2023 artfynd.xlsx", "A 25754-2023")</f>
        <v/>
      </c>
      <c r="X12">
        <f>HYPERLINK("https://klasma.github.io/Logging_0140/kartor/A 25754-2023 karta.png", "A 25754-2023")</f>
        <v/>
      </c>
      <c r="Y12">
        <f>HYPERLINK("https://klasma.github.io/Logging_0140/kartor_geotiff/A 25754-2023 georefererad karta.tif", "A 25754-2023")</f>
        <v/>
      </c>
      <c r="AA12">
        <f>HYPERLINK("https://klasma.github.io/Logging_0140/klagomål/A 25754-2023 FSC-klagomål.docx", "A 25754-2023")</f>
        <v/>
      </c>
      <c r="AB12">
        <f>HYPERLINK("https://klasma.github.io/Logging_0140/klagomålsmail/A 25754-2023 FSC-klagomål mail.docx", "A 25754-2023")</f>
        <v/>
      </c>
      <c r="AC12">
        <f>HYPERLINK("https://klasma.github.io/Logging_0140/tillsyn/A 25754-2023 tillsynsbegäran.docx", "A 25754-2023")</f>
        <v/>
      </c>
      <c r="AD12">
        <f>HYPERLINK("https://klasma.github.io/Logging_0140/tillsynsmail/A 25754-2023 tillsynsbegäran mail.docx", "A 25754-2023")</f>
        <v/>
      </c>
      <c r="AE12">
        <f>HYPERLINK("https://klasma.github.io/Logging_0140/fåglar/A 25754-2023 prioriterade fågelarter.docx", "A 25754-2023")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46312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Kösa</t>
        </is>
      </c>
      <c r="W13">
        <f>HYPERLINK("https://klasma.github.io/Logging_0140/artfynd/A 59342-2025 artfynd.xlsx", "A 59342-2025")</f>
        <v/>
      </c>
      <c r="X13">
        <f>HYPERLINK("https://klasma.github.io/Logging_0140/kartor/A 59342-2025 karta.png", "A 59342-2025")</f>
        <v/>
      </c>
      <c r="Y13">
        <f>HYPERLINK("https://klasma.github.io/Logging_0140/kartor_geotiff/A 59342-2025 georefererad karta.tif", "A 59342-2025")</f>
        <v/>
      </c>
      <c r="AA13">
        <f>HYPERLINK("https://klasma.github.io/Logging_0140/klagomål/A 59342-2025 FSC-klagomål.docx", "A 59342-2025")</f>
        <v/>
      </c>
      <c r="AB13">
        <f>HYPERLINK("https://klasma.github.io/Logging_0140/klagomålsmail/A 59342-2025 FSC-klagomål mail.docx", "A 59342-2025")</f>
        <v/>
      </c>
      <c r="AC13">
        <f>HYPERLINK("https://klasma.github.io/Logging_0140/tillsyn/A 59342-2025 tillsynsbegäran.docx", "A 59342-2025")</f>
        <v/>
      </c>
      <c r="AD13">
        <f>HYPERLINK("https://klasma.github.io/Logging_0140/tillsynsmail/A 59342-2025 tillsynsbegäran mail.docx", "A 59342-2025")</f>
        <v/>
      </c>
    </row>
    <row r="14" ht="15" customHeight="1">
      <c r="A14" t="inlineStr">
        <is>
          <t>A 24790-2026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46171</v>
      </c>
      <c r="E14" s="1" t="n">
        <v>46312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HYPERLINK("https://klasma.github.io/Logging_0140/artfynd/A 24790-2026 artfynd.xlsx", "A 24790-2026")</f>
        <v/>
      </c>
      <c r="X14">
        <f>HYPERLINK("https://klasma.github.io/Logging_0140/kartor/A 24790-2026 karta.png", "A 24790-2026")</f>
        <v/>
      </c>
      <c r="Y14">
        <f>HYPERLINK("https://klasma.github.io/Logging_0140/kartor_geotiff/A 24790-2026 georefererad karta.tif", "A 24790-2026")</f>
        <v/>
      </c>
      <c r="AA14">
        <f>HYPERLINK("https://klasma.github.io/Logging_0140/klagomål/A 24790-2026 FSC-klagomål.docx", "A 24790-2026")</f>
        <v/>
      </c>
      <c r="AB14">
        <f>HYPERLINK("https://klasma.github.io/Logging_0140/klagomålsmail/A 24790-2026 FSC-klagomål mail.docx", "A 24790-2026")</f>
        <v/>
      </c>
      <c r="AC14">
        <f>HYPERLINK("https://klasma.github.io/Logging_0140/tillsyn/A 24790-2026 tillsynsbegäran.docx", "A 24790-2026")</f>
        <v/>
      </c>
      <c r="AD14">
        <f>HYPERLINK("https://klasma.github.io/Logging_0140/tillsynsmail/A 24790-2026 tillsynsbegäran mail.docx", "A 24790-2026")</f>
        <v/>
      </c>
    </row>
    <row r="15" ht="15" customHeight="1">
      <c r="A15" t="inlineStr">
        <is>
          <t>A 15912-2026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46107</v>
      </c>
      <c r="E15" s="1" t="n">
        <v>46312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12.9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Skogsödla</t>
        </is>
      </c>
      <c r="W15">
        <f>HYPERLINK("https://klasma.github.io/Logging_0140/artfynd/A 15912-2026 artfynd.xlsx", "A 15912-2026")</f>
        <v/>
      </c>
      <c r="X15">
        <f>HYPERLINK("https://klasma.github.io/Logging_0140/kartor/A 15912-2026 karta.png", "A 15912-2026")</f>
        <v/>
      </c>
      <c r="Y15">
        <f>HYPERLINK("https://klasma.github.io/Logging_0140/kartor_geotiff/A 15912-2026 georefererad karta.tif", "A 15912-2026")</f>
        <v/>
      </c>
      <c r="AA15">
        <f>HYPERLINK("https://klasma.github.io/Logging_0140/klagomål/A 15912-2026 FSC-klagomål.docx", "A 15912-2026")</f>
        <v/>
      </c>
      <c r="AB15">
        <f>HYPERLINK("https://klasma.github.io/Logging_0140/klagomålsmail/A 15912-2026 FSC-klagomål mail.docx", "A 15912-2026")</f>
        <v/>
      </c>
      <c r="AC15">
        <f>HYPERLINK("https://klasma.github.io/Logging_0140/tillsyn/A 15912-2026 tillsynsbegäran.docx", "A 15912-2026")</f>
        <v/>
      </c>
      <c r="AD15">
        <f>HYPERLINK("https://klasma.github.io/Logging_0140/tillsynsmail/A 15912-2026 tillsynsbegäran mail.docx", "A 15912-2026")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46312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39539-2023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45167</v>
      </c>
      <c r="E17" s="1" t="n">
        <v>46312</v>
      </c>
      <c r="F17" t="inlineStr">
        <is>
          <t>STOCKHOLMS LÄN</t>
        </is>
      </c>
      <c r="G17" t="inlineStr">
        <is>
          <t>NYKVARN</t>
        </is>
      </c>
      <c r="I17" t="n">
        <v>2.3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HYPERLINK("https://klasma.github.io/Logging_0140/artfynd/A 39539-2023 artfynd.xlsx", "A 39539-2023")</f>
        <v/>
      </c>
      <c r="X17">
        <f>HYPERLINK("https://klasma.github.io/Logging_0140/kartor/A 39539-2023 karta.png", "A 39539-2023")</f>
        <v/>
      </c>
      <c r="Y17">
        <f>HYPERLINK("https://klasma.github.io/Logging_0140/kartor_geotiff/A 39539-2023 georefererad karta.tif", "A 39539-2023")</f>
        <v/>
      </c>
      <c r="AA17">
        <f>HYPERLINK("https://klasma.github.io/Logging_0140/klagomål/A 39539-2023 FSC-klagomål.docx", "A 39539-2023")</f>
        <v/>
      </c>
      <c r="AB17">
        <f>HYPERLINK("https://klasma.github.io/Logging_0140/klagomålsmail/A 39539-2023 FSC-klagomål mail.docx", "A 39539-2023")</f>
        <v/>
      </c>
      <c r="AC17">
        <f>HYPERLINK("https://klasma.github.io/Logging_0140/tillsyn/A 39539-2023 tillsynsbegäran.docx", "A 39539-2023")</f>
        <v/>
      </c>
      <c r="AD17">
        <f>HYPERLINK("https://klasma.github.io/Logging_0140/tillsynsmail/A 39539-2023 tillsynsbegäran mail.docx", "A 39539-2023")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46312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46312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46312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41251-2026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46312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41251-2026 artfynd.xlsx", "A 41251-2026")</f>
        <v/>
      </c>
      <c r="X21">
        <f>HYPERLINK("https://klasma.github.io/Logging_0140/kartor/A 41251-2026 karta.png", "A 41251-2026")</f>
        <v/>
      </c>
      <c r="Y21">
        <f>HYPERLINK("https://klasma.github.io/Logging_0140/kartor_geotiff/A 41251-2026 georefererad karta.tif", "A 41251-2026")</f>
        <v/>
      </c>
      <c r="AA21">
        <f>HYPERLINK("https://klasma.github.io/Logging_0140/klagomål/A 41251-2026 FSC-klagomål.docx", "A 41251-2026")</f>
        <v/>
      </c>
      <c r="AB21">
        <f>HYPERLINK("https://klasma.github.io/Logging_0140/klagomålsmail/A 41251-2026 FSC-klagomål mail.docx", "A 41251-2026")</f>
        <v/>
      </c>
      <c r="AC21">
        <f>HYPERLINK("https://klasma.github.io/Logging_0140/tillsyn/A 41251-2026 tillsynsbegäran.docx", "A 41251-2026")</f>
        <v/>
      </c>
      <c r="AD21">
        <f>HYPERLINK("https://klasma.github.io/Logging_0140/tillsynsmail/A 41251-2026 tillsynsbegäran mail.docx", "A 41251-2026")</f>
        <v/>
      </c>
    </row>
    <row r="22" ht="15" customHeight="1">
      <c r="A22" t="inlineStr">
        <is>
          <t>A 23279-2025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45791</v>
      </c>
      <c r="E22" s="1" t="n">
        <v>46312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23279-2025 artfynd.xlsx", "A 23279-2025")</f>
        <v/>
      </c>
      <c r="X22">
        <f>HYPERLINK("https://klasma.github.io/Logging_0140/kartor/A 23279-2025 karta.png", "A 23279-2025")</f>
        <v/>
      </c>
      <c r="Y22">
        <f>HYPERLINK("https://klasma.github.io/Logging_0140/kartor_geotiff/A 23279-2025 georefererad karta.tif", "A 23279-2025")</f>
        <v/>
      </c>
      <c r="AA22">
        <f>HYPERLINK("https://klasma.github.io/Logging_0140/klagomål/A 23279-2025 FSC-klagomål.docx", "A 23279-2025")</f>
        <v/>
      </c>
      <c r="AB22">
        <f>HYPERLINK("https://klasma.github.io/Logging_0140/klagomålsmail/A 23279-2025 FSC-klagomål mail.docx", "A 23279-2025")</f>
        <v/>
      </c>
      <c r="AC22">
        <f>HYPERLINK("https://klasma.github.io/Logging_0140/tillsyn/A 23279-2025 tillsynsbegäran.docx", "A 23279-2025")</f>
        <v/>
      </c>
      <c r="AD22">
        <f>HYPERLINK("https://klasma.github.io/Logging_0140/tillsynsmail/A 23279-2025 tillsynsbegäran mail.docx", "A 23279-2025")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46312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46312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46312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46312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46312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46312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46312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46312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46312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46312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46312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46312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46312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46312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44872</v>
      </c>
      <c r="E37" s="1" t="n">
        <v>46312</v>
      </c>
      <c r="F37" t="inlineStr">
        <is>
          <t>STOCKHOLMS LÄN</t>
        </is>
      </c>
      <c r="G37" t="inlineStr">
        <is>
          <t>NYKVARN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46312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2172-2024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45309</v>
      </c>
      <c r="E39" s="1" t="n">
        <v>46312</v>
      </c>
      <c r="F39" t="inlineStr">
        <is>
          <t>STOCKHOLMS LÄN</t>
        </is>
      </c>
      <c r="G39" t="inlineStr">
        <is>
          <t>NYKVARN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46312</v>
      </c>
      <c r="F40" t="inlineStr">
        <is>
          <t>STOCKHOLMS LÄN</t>
        </is>
      </c>
      <c r="G40" t="inlineStr">
        <is>
          <t>NYKVARN</t>
        </is>
      </c>
      <c r="H40" t="inlineStr">
        <is>
          <t>Kommuner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32555-2023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45121</v>
      </c>
      <c r="E41" s="1" t="n">
        <v>46312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46312</v>
      </c>
      <c r="F42" t="inlineStr">
        <is>
          <t>STOCKHOLMS LÄN</t>
        </is>
      </c>
      <c r="G42" t="inlineStr">
        <is>
          <t>NYKVARN</t>
        </is>
      </c>
      <c r="H42" t="inlineStr">
        <is>
          <t>Kyrkan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53307-2023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46312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46312</v>
      </c>
      <c r="F44" t="inlineStr">
        <is>
          <t>STOCKHOLMS LÄN</t>
        </is>
      </c>
      <c r="G44" t="inlineStr">
        <is>
          <t>NYKVARN</t>
        </is>
      </c>
      <c r="H44" t="inlineStr">
        <is>
          <t>Allmännings- och besparingsskogar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46312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44630</v>
      </c>
      <c r="E46" s="1" t="n">
        <v>46312</v>
      </c>
      <c r="F46" t="inlineStr">
        <is>
          <t>STOCKHOLMS LÄN</t>
        </is>
      </c>
      <c r="G46" t="inlineStr">
        <is>
          <t>NYKVARN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46312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41681-2023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46312</v>
      </c>
      <c r="F48" t="inlineStr">
        <is>
          <t>STOCKHOLMS LÄN</t>
        </is>
      </c>
      <c r="G48" t="inlineStr">
        <is>
          <t>NYKVARN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46312</v>
      </c>
      <c r="F49" t="inlineStr">
        <is>
          <t>STOCKHOLMS LÄN</t>
        </is>
      </c>
      <c r="G49" t="inlineStr">
        <is>
          <t>NYKVARN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8096-2023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46312</v>
      </c>
      <c r="F50" t="inlineStr">
        <is>
          <t>STOCKHOLMS LÄN</t>
        </is>
      </c>
      <c r="G50" t="inlineStr">
        <is>
          <t>NYKVARN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45989</v>
      </c>
      <c r="E51" s="1" t="n">
        <v>46312</v>
      </c>
      <c r="F51" t="inlineStr">
        <is>
          <t>STOCKHOLMS LÄN</t>
        </is>
      </c>
      <c r="G51" t="inlineStr">
        <is>
          <t>NYKVARN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45233</v>
      </c>
      <c r="E52" s="1" t="n">
        <v>46312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8.4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45235</v>
      </c>
      <c r="E53" s="1" t="n">
        <v>46312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45756</v>
      </c>
      <c r="E54" s="1" t="n">
        <v>46312</v>
      </c>
      <c r="F54" t="inlineStr">
        <is>
          <t>STOCKHOLMS LÄN</t>
        </is>
      </c>
      <c r="G54" t="inlineStr">
        <is>
          <t>NYKVARN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46312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24796-2026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46312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46312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46312</v>
      </c>
      <c r="F58" t="inlineStr">
        <is>
          <t>STOCKHOLMS LÄN</t>
        </is>
      </c>
      <c r="G58" t="inlineStr">
        <is>
          <t>NYKVARN</t>
        </is>
      </c>
      <c r="I58" t="n">
        <v>10.6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19487-2023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45050</v>
      </c>
      <c r="E59" s="1" t="n">
        <v>46312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45044</v>
      </c>
      <c r="E60" s="1" t="n">
        <v>46312</v>
      </c>
      <c r="F60" t="inlineStr">
        <is>
          <t>STOCKHOLMS LÄN</t>
        </is>
      </c>
      <c r="G60" t="inlineStr">
        <is>
          <t>NYKVARN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46312</v>
      </c>
      <c r="F61" t="inlineStr">
        <is>
          <t>STOCKHOLMS LÄN</t>
        </is>
      </c>
      <c r="G61" t="inlineStr">
        <is>
          <t>NYKVARN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63586-2023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46312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50031-2023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46312</v>
      </c>
      <c r="F63" t="inlineStr">
        <is>
          <t>STOCKHOLMS LÄN</t>
        </is>
      </c>
      <c r="G63" t="inlineStr">
        <is>
          <t>NYKVARN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44730</v>
      </c>
      <c r="E64" s="1" t="n">
        <v>46312</v>
      </c>
      <c r="F64" t="inlineStr">
        <is>
          <t>STOCKHOLMS LÄN</t>
        </is>
      </c>
      <c r="G64" t="inlineStr">
        <is>
          <t>NYKVARN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71540-2021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44540</v>
      </c>
      <c r="E65" s="1" t="n">
        <v>46312</v>
      </c>
      <c r="F65" t="inlineStr">
        <is>
          <t>STOCKHOLMS LÄN</t>
        </is>
      </c>
      <c r="G65" t="inlineStr">
        <is>
          <t>NYKVARN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7926-2023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46312</v>
      </c>
      <c r="F66" t="inlineStr">
        <is>
          <t>STOCKHOLMS LÄN</t>
        </is>
      </c>
      <c r="G66" t="inlineStr">
        <is>
          <t>NYKVARN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22529-2022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46312</v>
      </c>
      <c r="F67" t="inlineStr">
        <is>
          <t>STOCKHOLMS LÄN</t>
        </is>
      </c>
      <c r="G67" t="inlineStr">
        <is>
          <t>NYKVARN</t>
        </is>
      </c>
      <c r="H67" t="inlineStr">
        <is>
          <t>Allmännings- och besparingsskogar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46312</v>
      </c>
      <c r="F68" t="inlineStr">
        <is>
          <t>STOCKHOLMS LÄN</t>
        </is>
      </c>
      <c r="G68" t="inlineStr">
        <is>
          <t>NYKVARN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19903-2023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46312</v>
      </c>
      <c r="F69" t="inlineStr">
        <is>
          <t>STOCKHOLMS LÄN</t>
        </is>
      </c>
      <c r="G69" t="inlineStr">
        <is>
          <t>NYKVARN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46312</v>
      </c>
      <c r="F70" t="inlineStr">
        <is>
          <t>STOCKHOLMS LÄN</t>
        </is>
      </c>
      <c r="G70" t="inlineStr">
        <is>
          <t>NYKVARN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46312</v>
      </c>
      <c r="F71" t="inlineStr">
        <is>
          <t>STOCKHOLMS LÄN</t>
        </is>
      </c>
      <c r="G71" t="inlineStr">
        <is>
          <t>NYKVARN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46312</v>
      </c>
      <c r="F72" t="inlineStr">
        <is>
          <t>STOCKHOLMS LÄN</t>
        </is>
      </c>
      <c r="G72" t="inlineStr">
        <is>
          <t>NYKVARN</t>
        </is>
      </c>
      <c r="I72" t="n">
        <v>9.300000000000001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36919-2026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46273</v>
      </c>
      <c r="E73" s="1" t="n">
        <v>46312</v>
      </c>
      <c r="F73" t="inlineStr">
        <is>
          <t>STOCKHOLMS LÄN</t>
        </is>
      </c>
      <c r="G73" t="inlineStr">
        <is>
          <t>NYKVARN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46312</v>
      </c>
      <c r="F74" t="inlineStr">
        <is>
          <t>STOCKHOLMS LÄN</t>
        </is>
      </c>
      <c r="G74" t="inlineStr">
        <is>
          <t>NYKVARN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46312</v>
      </c>
      <c r="F75" t="inlineStr">
        <is>
          <t>STOCKHOLMS LÄN</t>
        </is>
      </c>
      <c r="G75" t="inlineStr">
        <is>
          <t>NYKVARN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37271-2026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46312</v>
      </c>
      <c r="F76" t="inlineStr">
        <is>
          <t>STOCKHOLMS LÄN</t>
        </is>
      </c>
      <c r="G76" t="inlineStr">
        <is>
          <t>NYKVARN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37305-2026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46312</v>
      </c>
      <c r="F77" t="inlineStr">
        <is>
          <t>STOCKHOLMS LÄN</t>
        </is>
      </c>
      <c r="G77" t="inlineStr">
        <is>
          <t>NYKVARN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37244-2026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46274</v>
      </c>
      <c r="E78" s="1" t="n">
        <v>46312</v>
      </c>
      <c r="F78" t="inlineStr">
        <is>
          <t>STOCKHOLMS LÄN</t>
        </is>
      </c>
      <c r="G78" t="inlineStr">
        <is>
          <t>NYKVARN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37266-2026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46274</v>
      </c>
      <c r="E79" s="1" t="n">
        <v>46312</v>
      </c>
      <c r="F79" t="inlineStr">
        <is>
          <t>STOCKHOLMS LÄN</t>
        </is>
      </c>
      <c r="G79" t="inlineStr">
        <is>
          <t>NYKVARN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46312</v>
      </c>
      <c r="F80" t="inlineStr">
        <is>
          <t>STOCKHOLMS LÄN</t>
        </is>
      </c>
      <c r="G80" t="inlineStr">
        <is>
          <t>NYKVARN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37309-2026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46274</v>
      </c>
      <c r="E81" s="1" t="n">
        <v>46312</v>
      </c>
      <c r="F81" t="inlineStr">
        <is>
          <t>STOCKHOLMS LÄN</t>
        </is>
      </c>
      <c r="G81" t="inlineStr">
        <is>
          <t>NYKVARN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46312</v>
      </c>
      <c r="F82" t="inlineStr">
        <is>
          <t>STOCKHOLMS LÄN</t>
        </is>
      </c>
      <c r="G82" t="inlineStr">
        <is>
          <t>NYKVARN</t>
        </is>
      </c>
      <c r="H82" t="inlineStr">
        <is>
          <t>Kommuner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63592-2023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45275</v>
      </c>
      <c r="E83" s="1" t="n">
        <v>46312</v>
      </c>
      <c r="F83" t="inlineStr">
        <is>
          <t>STOCKHOLMS LÄN</t>
        </is>
      </c>
      <c r="G83" t="inlineStr">
        <is>
          <t>NYKVARN</t>
        </is>
      </c>
      <c r="H83" t="inlineStr">
        <is>
          <t>Kommuner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46312</v>
      </c>
      <c r="F84" t="inlineStr">
        <is>
          <t>STOCKHOLMS LÄN</t>
        </is>
      </c>
      <c r="G84" t="inlineStr">
        <is>
          <t>NYKVARN</t>
        </is>
      </c>
      <c r="H84" t="inlineStr">
        <is>
          <t>Allmännings- och besparingsskogar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46312</v>
      </c>
      <c r="F85" t="inlineStr">
        <is>
          <t>STOCKHOLMS LÄN</t>
        </is>
      </c>
      <c r="G85" t="inlineStr">
        <is>
          <t>NYKVARN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45309</v>
      </c>
      <c r="E86" s="1" t="n">
        <v>46312</v>
      </c>
      <c r="F86" t="inlineStr">
        <is>
          <t>STOCKHOLMS LÄN</t>
        </is>
      </c>
      <c r="G86" t="inlineStr">
        <is>
          <t>NYKVARN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45792</v>
      </c>
      <c r="E87" s="1" t="n">
        <v>46312</v>
      </c>
      <c r="F87" t="inlineStr">
        <is>
          <t>STOCKHOLMS LÄN</t>
        </is>
      </c>
      <c r="G87" t="inlineStr">
        <is>
          <t>NYKVARN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46312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46312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2026-10-17T02:06:15Z</dcterms:created>
  <dcterms:modified xmlns:dcterms="http://purl.org/dc/terms/" xmlns:xsi="http://www.w3.org/2001/XMLSchema-instance" xsi:type="dcterms:W3CDTF">2026-10-17T02:06:15Z</dcterms:modified>
</cp:coreProperties>
</file>