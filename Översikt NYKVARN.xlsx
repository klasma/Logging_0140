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46205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3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46205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Dropptaggsvamp
Motaggsvamp
Tallticka
Vedskivlav
Spillkråka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46205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19216-2026</t>
        </is>
      </c>
      <c r="B5" s="1" t="n">
        <v>46132</v>
      </c>
      <c r="C5" s="1" t="n">
        <v>46205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2.6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Motaggsvamp
Tallticka</t>
        </is>
      </c>
      <c r="S5">
        <f>HYPERLINK("https://klasma.github.io/Logging_0140/artfynd/A 19216-2026 artfynd.xlsx", "A 19216-2026")</f>
        <v/>
      </c>
      <c r="T5">
        <f>HYPERLINK("https://klasma.github.io/Logging_0140/kartor/A 19216-2026 karta.png", "A 19216-2026")</f>
        <v/>
      </c>
      <c r="V5">
        <f>HYPERLINK("https://klasma.github.io/Logging_0140/klagomål/A 19216-2026 FSC-klagomål.docx", "A 19216-2026")</f>
        <v/>
      </c>
      <c r="W5">
        <f>HYPERLINK("https://klasma.github.io/Logging_0140/klagomålsmail/A 19216-2026 FSC-klagomål mail.docx", "A 19216-2026")</f>
        <v/>
      </c>
      <c r="X5">
        <f>HYPERLINK("https://klasma.github.io/Logging_0140/tillsyn/A 19216-2026 tillsynsbegäran.docx", "A 19216-2026")</f>
        <v/>
      </c>
      <c r="Y5">
        <f>HYPERLINK("https://klasma.github.io/Logging_0140/tillsynsmail/A 19216-2026 tillsynsbegäran mail.docx", "A 19216-2026")</f>
        <v/>
      </c>
    </row>
    <row r="6" ht="15" customHeight="1">
      <c r="A6" t="inlineStr">
        <is>
          <t>A 18848-2024</t>
        </is>
      </c>
      <c r="B6" s="1" t="n">
        <v>45426</v>
      </c>
      <c r="C6" s="1" t="n">
        <v>46205</v>
      </c>
      <c r="D6" t="inlineStr">
        <is>
          <t>STOCKHOLMS LÄN</t>
        </is>
      </c>
      <c r="E6" t="inlineStr">
        <is>
          <t>NYKVARN</t>
        </is>
      </c>
      <c r="G6" t="n">
        <v>0.6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HYPERLINK("https://klasma.github.io/Logging_0140/artfynd/A 18848-2024 artfynd.xlsx", "A 18848-2024")</f>
        <v/>
      </c>
      <c r="T6">
        <f>HYPERLINK("https://klasma.github.io/Logging_0140/kartor/A 18848-2024 karta.png", "A 18848-2024")</f>
        <v/>
      </c>
      <c r="V6">
        <f>HYPERLINK("https://klasma.github.io/Logging_0140/klagomål/A 18848-2024 FSC-klagomål.docx", "A 18848-2024")</f>
        <v/>
      </c>
      <c r="W6">
        <f>HYPERLINK("https://klasma.github.io/Logging_0140/klagomålsmail/A 18848-2024 FSC-klagomål mail.docx", "A 18848-2024")</f>
        <v/>
      </c>
      <c r="X6">
        <f>HYPERLINK("https://klasma.github.io/Logging_0140/tillsyn/A 18848-2024 tillsynsbegäran.docx", "A 18848-2024")</f>
        <v/>
      </c>
      <c r="Y6">
        <f>HYPERLINK("https://klasma.github.io/Logging_0140/tillsynsmail/A 18848-2024 tillsynsbegäran mail.docx", "A 18848-2024")</f>
        <v/>
      </c>
    </row>
    <row r="7" ht="15" customHeight="1">
      <c r="A7" t="inlineStr">
        <is>
          <t>A 39539-2023</t>
        </is>
      </c>
      <c r="B7" s="1" t="n">
        <v>45167</v>
      </c>
      <c r="C7" s="1" t="n">
        <v>46205</v>
      </c>
      <c r="D7" t="inlineStr">
        <is>
          <t>STOCKHOLMS LÄN</t>
        </is>
      </c>
      <c r="E7" t="inlineStr">
        <is>
          <t>NYKVARN</t>
        </is>
      </c>
      <c r="G7" t="n">
        <v>2.3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HYPERLINK("https://klasma.github.io/Logging_0140/artfynd/A 39539-2023 artfynd.xlsx", "A 39539-2023")</f>
        <v/>
      </c>
      <c r="T7">
        <f>HYPERLINK("https://klasma.github.io/Logging_0140/kartor/A 39539-2023 karta.png", "A 39539-2023")</f>
        <v/>
      </c>
      <c r="V7">
        <f>HYPERLINK("https://klasma.github.io/Logging_0140/klagomål/A 39539-2023 FSC-klagomål.docx", "A 39539-2023")</f>
        <v/>
      </c>
      <c r="W7">
        <f>HYPERLINK("https://klasma.github.io/Logging_0140/klagomålsmail/A 39539-2023 FSC-klagomål mail.docx", "A 39539-2023")</f>
        <v/>
      </c>
      <c r="X7">
        <f>HYPERLINK("https://klasma.github.io/Logging_0140/tillsyn/A 39539-2023 tillsynsbegäran.docx", "A 39539-2023")</f>
        <v/>
      </c>
      <c r="Y7">
        <f>HYPERLINK("https://klasma.github.io/Logging_0140/tillsynsmail/A 39539-2023 tillsynsbegäran mail.docx", "A 39539-2023")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46205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11388-2024</t>
        </is>
      </c>
      <c r="B9" s="1" t="n">
        <v>45372</v>
      </c>
      <c r="C9" s="1" t="n">
        <v>46205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59342-2025</t>
        </is>
      </c>
      <c r="B10" s="1" t="n">
        <v>45989</v>
      </c>
      <c r="C10" s="1" t="n">
        <v>46205</v>
      </c>
      <c r="D10" t="inlineStr">
        <is>
          <t>STOCKHOLMS LÄN</t>
        </is>
      </c>
      <c r="E10" t="inlineStr">
        <is>
          <t>NYKVARN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Kösa</t>
        </is>
      </c>
      <c r="S10">
        <f>HYPERLINK("https://klasma.github.io/Logging_0140/artfynd/A 59342-2025 artfynd.xlsx", "A 59342-2025")</f>
        <v/>
      </c>
      <c r="T10">
        <f>HYPERLINK("https://klasma.github.io/Logging_0140/kartor/A 59342-2025 karta.png", "A 59342-2025")</f>
        <v/>
      </c>
      <c r="V10">
        <f>HYPERLINK("https://klasma.github.io/Logging_0140/klagomål/A 59342-2025 FSC-klagomål.docx", "A 59342-2025")</f>
        <v/>
      </c>
      <c r="W10">
        <f>HYPERLINK("https://klasma.github.io/Logging_0140/klagomålsmail/A 59342-2025 FSC-klagomål mail.docx", "A 59342-2025")</f>
        <v/>
      </c>
      <c r="X10">
        <f>HYPERLINK("https://klasma.github.io/Logging_0140/tillsyn/A 59342-2025 tillsynsbegäran.docx", "A 59342-2025")</f>
        <v/>
      </c>
      <c r="Y10">
        <f>HYPERLINK("https://klasma.github.io/Logging_0140/tillsynsmail/A 59342-2025 tillsynsbegäran mail.docx", "A 59342-2025")</f>
        <v/>
      </c>
    </row>
    <row r="11" ht="15" customHeight="1">
      <c r="A11" t="inlineStr">
        <is>
          <t>A 25754-2023</t>
        </is>
      </c>
      <c r="B11" s="1" t="n">
        <v>45084</v>
      </c>
      <c r="C11" s="1" t="n">
        <v>46205</v>
      </c>
      <c r="D11" t="inlineStr">
        <is>
          <t>STOCKHOLMS LÄN</t>
        </is>
      </c>
      <c r="E11" t="inlineStr">
        <is>
          <t>NYKVARN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Trana</t>
        </is>
      </c>
      <c r="S11">
        <f>HYPERLINK("https://klasma.github.io/Logging_0140/artfynd/A 25754-2023 artfynd.xlsx", "A 25754-2023")</f>
        <v/>
      </c>
      <c r="T11">
        <f>HYPERLINK("https://klasma.github.io/Logging_0140/kartor/A 25754-2023 karta.png", "A 25754-2023")</f>
        <v/>
      </c>
      <c r="V11">
        <f>HYPERLINK("https://klasma.github.io/Logging_0140/klagomål/A 25754-2023 FSC-klagomål.docx", "A 25754-2023")</f>
        <v/>
      </c>
      <c r="W11">
        <f>HYPERLINK("https://klasma.github.io/Logging_0140/klagomålsmail/A 25754-2023 FSC-klagomål mail.docx", "A 25754-2023")</f>
        <v/>
      </c>
      <c r="X11">
        <f>HYPERLINK("https://klasma.github.io/Logging_0140/tillsyn/A 25754-2023 tillsynsbegäran.docx", "A 25754-2023")</f>
        <v/>
      </c>
      <c r="Y11">
        <f>HYPERLINK("https://klasma.github.io/Logging_0140/tillsynsmail/A 25754-2023 tillsynsbegäran mail.docx", "A 25754-2023")</f>
        <v/>
      </c>
      <c r="Z11">
        <f>HYPERLINK("https://klasma.github.io/Logging_0140/fåglar/A 25754-2023 prioriterade fågelarter.docx", "A 25754-2023")</f>
        <v/>
      </c>
    </row>
    <row r="12" ht="15" customHeight="1">
      <c r="A12" t="inlineStr">
        <is>
          <t>A 15912-2026</t>
        </is>
      </c>
      <c r="B12" s="1" t="n">
        <v>46107</v>
      </c>
      <c r="C12" s="1" t="n">
        <v>46205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12.9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HYPERLINK("https://klasma.github.io/Logging_0140/artfynd/A 15912-2026 artfynd.xlsx", "A 15912-2026")</f>
        <v/>
      </c>
      <c r="T12">
        <f>HYPERLINK("https://klasma.github.io/Logging_0140/kartor/A 15912-2026 karta.png", "A 15912-2026")</f>
        <v/>
      </c>
      <c r="V12">
        <f>HYPERLINK("https://klasma.github.io/Logging_0140/klagomål/A 15912-2026 FSC-klagomål.docx", "A 15912-2026")</f>
        <v/>
      </c>
      <c r="W12">
        <f>HYPERLINK("https://klasma.github.io/Logging_0140/klagomålsmail/A 15912-2026 FSC-klagomål mail.docx", "A 15912-2026")</f>
        <v/>
      </c>
      <c r="X12">
        <f>HYPERLINK("https://klasma.github.io/Logging_0140/tillsyn/A 15912-2026 tillsynsbegäran.docx", "A 15912-2026")</f>
        <v/>
      </c>
      <c r="Y12">
        <f>HYPERLINK("https://klasma.github.io/Logging_0140/tillsynsmail/A 15912-2026 tillsynsbegäran mail.docx", "A 15912-2026")</f>
        <v/>
      </c>
    </row>
    <row r="13" ht="15" customHeight="1">
      <c r="A13" t="inlineStr">
        <is>
          <t>A 17009-2026</t>
        </is>
      </c>
      <c r="B13" s="1" t="n">
        <v>46114</v>
      </c>
      <c r="C13" s="1" t="n">
        <v>46205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8.699999999999999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HYPERLINK("https://klasma.github.io/Logging_0140/artfynd/A 17009-2026 artfynd.xlsx", "A 17009-2026")</f>
        <v/>
      </c>
      <c r="T13">
        <f>HYPERLINK("https://klasma.github.io/Logging_0140/kartor/A 17009-2026 karta.png", "A 17009-2026")</f>
        <v/>
      </c>
      <c r="V13">
        <f>HYPERLINK("https://klasma.github.io/Logging_0140/klagomål/A 17009-2026 FSC-klagomål.docx", "A 17009-2026")</f>
        <v/>
      </c>
      <c r="W13">
        <f>HYPERLINK("https://klasma.github.io/Logging_0140/klagomålsmail/A 17009-2026 FSC-klagomål mail.docx", "A 17009-2026")</f>
        <v/>
      </c>
      <c r="X13">
        <f>HYPERLINK("https://klasma.github.io/Logging_0140/tillsyn/A 17009-2026 tillsynsbegäran.docx", "A 17009-2026")</f>
        <v/>
      </c>
      <c r="Y13">
        <f>HYPERLINK("https://klasma.github.io/Logging_0140/tillsynsmail/A 17009-2026 tillsynsbegäran mail.docx", "A 17009-2026")</f>
        <v/>
      </c>
    </row>
    <row r="14" ht="15" customHeight="1">
      <c r="A14" t="inlineStr">
        <is>
          <t>A 6876-2022</t>
        </is>
      </c>
      <c r="B14" s="1" t="n">
        <v>44602</v>
      </c>
      <c r="C14" s="1" t="n">
        <v>46205</v>
      </c>
      <c r="D14" t="inlineStr">
        <is>
          <t>STOCKHOLMS LÄN</t>
        </is>
      </c>
      <c r="E14" t="inlineStr">
        <is>
          <t>NYKVARN</t>
        </is>
      </c>
      <c r="F14" t="inlineStr">
        <is>
          <t>Kommuner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HYPERLINK("https://klasma.github.io/Logging_0140/artfynd/A 6876-2022 artfynd.xlsx", "A 6876-2022")</f>
        <v/>
      </c>
      <c r="T14">
        <f>HYPERLINK("https://klasma.github.io/Logging_0140/kartor/A 6876-2022 karta.png", "A 6876-2022")</f>
        <v/>
      </c>
      <c r="V14">
        <f>HYPERLINK("https://klasma.github.io/Logging_0140/klagomål/A 6876-2022 FSC-klagomål.docx", "A 6876-2022")</f>
        <v/>
      </c>
      <c r="W14">
        <f>HYPERLINK("https://klasma.github.io/Logging_0140/klagomålsmail/A 6876-2022 FSC-klagomål mail.docx", "A 6876-2022")</f>
        <v/>
      </c>
      <c r="X14">
        <f>HYPERLINK("https://klasma.github.io/Logging_0140/tillsyn/A 6876-2022 tillsynsbegäran.docx", "A 6876-2022")</f>
        <v/>
      </c>
      <c r="Y14">
        <f>HYPERLINK("https://klasma.github.io/Logging_0140/tillsynsmail/A 6876-2022 tillsynsbegäran mail.docx", "A 6876-2022")</f>
        <v/>
      </c>
    </row>
    <row r="15" ht="15" customHeight="1">
      <c r="A15" t="inlineStr">
        <is>
          <t>A 24790-2026</t>
        </is>
      </c>
      <c r="B15" s="1" t="n">
        <v>46171</v>
      </c>
      <c r="C15" s="1" t="n">
        <v>46205</v>
      </c>
      <c r="D15" t="inlineStr">
        <is>
          <t>STOCKHOLMS LÄN</t>
        </is>
      </c>
      <c r="E15" t="inlineStr">
        <is>
          <t>NYKVARN</t>
        </is>
      </c>
      <c r="F15" t="inlineStr">
        <is>
          <t>Kommuner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HYPERLINK("https://klasma.github.io/Logging_0140/artfynd/A 24790-2026 artfynd.xlsx", "A 24790-2026")</f>
        <v/>
      </c>
      <c r="T15">
        <f>HYPERLINK("https://klasma.github.io/Logging_0140/kartor/A 24790-2026 karta.png", "A 24790-2026")</f>
        <v/>
      </c>
      <c r="V15">
        <f>HYPERLINK("https://klasma.github.io/Logging_0140/klagomål/A 24790-2026 FSC-klagomål.docx", "A 24790-2026")</f>
        <v/>
      </c>
      <c r="W15">
        <f>HYPERLINK("https://klasma.github.io/Logging_0140/klagomålsmail/A 24790-2026 FSC-klagomål mail.docx", "A 24790-2026")</f>
        <v/>
      </c>
      <c r="X15">
        <f>HYPERLINK("https://klasma.github.io/Logging_0140/tillsyn/A 24790-2026 tillsynsbegäran.docx", "A 24790-2026")</f>
        <v/>
      </c>
      <c r="Y15">
        <f>HYPERLINK("https://klasma.github.io/Logging_0140/tillsynsmail/A 24790-2026 tillsynsbegäran mail.docx", "A 24790-2026")</f>
        <v/>
      </c>
    </row>
    <row r="16" ht="15" customHeight="1">
      <c r="A16" t="inlineStr">
        <is>
          <t>A 8285-2022</t>
        </is>
      </c>
      <c r="B16" s="1" t="n">
        <v>44610</v>
      </c>
      <c r="C16" s="1" t="n">
        <v>46205</v>
      </c>
      <c r="D16" t="inlineStr">
        <is>
          <t>STOCKHOLMS LÄN</t>
        </is>
      </c>
      <c r="E16" t="inlineStr">
        <is>
          <t>NYKVARN</t>
        </is>
      </c>
      <c r="G16" t="n">
        <v>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HYPERLINK("https://klasma.github.io/Logging_0140/artfynd/A 8285-2022 artfynd.xlsx", "A 8285-2022")</f>
        <v/>
      </c>
      <c r="T16">
        <f>HYPERLINK("https://klasma.github.io/Logging_0140/kartor/A 8285-2022 karta.png", "A 8285-2022")</f>
        <v/>
      </c>
      <c r="V16">
        <f>HYPERLINK("https://klasma.github.io/Logging_0140/klagomål/A 8285-2022 FSC-klagomål.docx", "A 8285-2022")</f>
        <v/>
      </c>
      <c r="W16">
        <f>HYPERLINK("https://klasma.github.io/Logging_0140/klagomålsmail/A 8285-2022 FSC-klagomål mail.docx", "A 8285-2022")</f>
        <v/>
      </c>
      <c r="X16">
        <f>HYPERLINK("https://klasma.github.io/Logging_0140/tillsyn/A 8285-2022 tillsynsbegäran.docx", "A 8285-2022")</f>
        <v/>
      </c>
      <c r="Y16">
        <f>HYPERLINK("https://klasma.github.io/Logging_0140/tillsynsmail/A 8285-2022 tillsynsbegäran mail.docx", "A 8285-2022")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46205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46205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HYPERLINK("https://klasma.github.io/Logging_0140/artfynd/A 23279-2025 artfynd.xlsx", "A 23279-2025")</f>
        <v/>
      </c>
      <c r="T18">
        <f>HYPERLINK("https://klasma.github.io/Logging_0140/kartor/A 23279-2025 karta.png", "A 23279-2025")</f>
        <v/>
      </c>
      <c r="V18">
        <f>HYPERLINK("https://klasma.github.io/Logging_0140/klagomål/A 23279-2025 FSC-klagomål.docx", "A 23279-2025")</f>
        <v/>
      </c>
      <c r="W18">
        <f>HYPERLINK("https://klasma.github.io/Logging_0140/klagomålsmail/A 23279-2025 FSC-klagomål mail.docx", "A 23279-2025")</f>
        <v/>
      </c>
      <c r="X18">
        <f>HYPERLINK("https://klasma.github.io/Logging_0140/tillsyn/A 23279-2025 tillsynsbegäran.docx", "A 23279-2025")</f>
        <v/>
      </c>
      <c r="Y18">
        <f>HYPERLINK("https://klasma.github.io/Logging_0140/tillsynsmail/A 23279-2025 tillsynsbegäran mail.docx", "A 23279-2025")</f>
        <v/>
      </c>
    </row>
    <row r="19" ht="15" customHeight="1">
      <c r="A19" t="inlineStr">
        <is>
          <t>A 37967-2021</t>
        </is>
      </c>
      <c r="B19" s="1" t="n">
        <v>44403</v>
      </c>
      <c r="C19" s="1" t="n">
        <v>46205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12578-2022</t>
        </is>
      </c>
      <c r="B20" s="1" t="n">
        <v>44638</v>
      </c>
      <c r="C20" s="1" t="n">
        <v>46205</v>
      </c>
      <c r="D20" t="inlineStr">
        <is>
          <t>STOCKHOLMS LÄN</t>
        </is>
      </c>
      <c r="E20" t="inlineStr">
        <is>
          <t>NYKVARN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74173-2021</t>
        </is>
      </c>
      <c r="B21" s="1" t="n">
        <v>44558</v>
      </c>
      <c r="C21" s="1" t="n">
        <v>46205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19608-2022</t>
        </is>
      </c>
      <c r="B22" s="1" t="n">
        <v>44693</v>
      </c>
      <c r="C22" s="1" t="n">
        <v>46205</v>
      </c>
      <c r="D22" t="inlineStr">
        <is>
          <t>STOCKHOLMS LÄN</t>
        </is>
      </c>
      <c r="E22" t="inlineStr">
        <is>
          <t>NYKVARN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24656-2022</t>
        </is>
      </c>
      <c r="B23" s="1" t="n">
        <v>44726</v>
      </c>
      <c r="C23" s="1" t="n">
        <v>46205</v>
      </c>
      <c r="D23" t="inlineStr">
        <is>
          <t>STOCKHOLMS LÄN</t>
        </is>
      </c>
      <c r="E23" t="inlineStr">
        <is>
          <t>NYKVARN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44531-2022</t>
        </is>
      </c>
      <c r="B24" s="1" t="n">
        <v>44840</v>
      </c>
      <c r="C24" s="1" t="n">
        <v>46205</v>
      </c>
      <c r="D24" t="inlineStr">
        <is>
          <t>STOCKHOLMS LÄN</t>
        </is>
      </c>
      <c r="E24" t="inlineStr">
        <is>
          <t>NYKVARN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43922-2021</t>
        </is>
      </c>
      <c r="B25" s="1" t="n">
        <v>44434</v>
      </c>
      <c r="C25" s="1" t="n">
        <v>46205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73212-2021</t>
        </is>
      </c>
      <c r="B26" s="1" t="n">
        <v>44550</v>
      </c>
      <c r="C26" s="1" t="n">
        <v>46205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24281-2022</t>
        </is>
      </c>
      <c r="B27" s="1" t="n">
        <v>44725</v>
      </c>
      <c r="C27" s="1" t="n">
        <v>46205</v>
      </c>
      <c r="D27" t="inlineStr">
        <is>
          <t>STOCKHOLMS LÄN</t>
        </is>
      </c>
      <c r="E27" t="inlineStr">
        <is>
          <t>NYKVARN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67220-2021</t>
        </is>
      </c>
      <c r="B28" s="1" t="n">
        <v>44523</v>
      </c>
      <c r="C28" s="1" t="n">
        <v>46205</v>
      </c>
      <c r="D28" t="inlineStr">
        <is>
          <t>STOCKHOLMS LÄN</t>
        </is>
      </c>
      <c r="E28" t="inlineStr">
        <is>
          <t>NYKVARN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8295-2022</t>
        </is>
      </c>
      <c r="B29" s="1" t="n">
        <v>44610</v>
      </c>
      <c r="C29" s="1" t="n">
        <v>46205</v>
      </c>
      <c r="D29" t="inlineStr">
        <is>
          <t>STOCKHOLMS LÄN</t>
        </is>
      </c>
      <c r="E29" t="inlineStr">
        <is>
          <t>NYKVARN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11996-2022</t>
        </is>
      </c>
      <c r="B30" s="1" t="n">
        <v>44635</v>
      </c>
      <c r="C30" s="1" t="n">
        <v>46205</v>
      </c>
      <c r="D30" t="inlineStr">
        <is>
          <t>STOCKHOLMS LÄN</t>
        </is>
      </c>
      <c r="E30" t="inlineStr">
        <is>
          <t>NYKVARN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22531-2022</t>
        </is>
      </c>
      <c r="B31" s="1" t="n">
        <v>44713</v>
      </c>
      <c r="C31" s="1" t="n">
        <v>46205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43230-2022</t>
        </is>
      </c>
      <c r="B32" s="1" t="n">
        <v>44834</v>
      </c>
      <c r="C32" s="1" t="n">
        <v>46205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52963-2022</t>
        </is>
      </c>
      <c r="B33" s="1" t="n">
        <v>44875</v>
      </c>
      <c r="C33" s="1" t="n">
        <v>46205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50031-2023</t>
        </is>
      </c>
      <c r="B34" s="1" t="n">
        <v>45215</v>
      </c>
      <c r="C34" s="1" t="n">
        <v>46205</v>
      </c>
      <c r="D34" t="inlineStr">
        <is>
          <t>STOCKHOLMS LÄN</t>
        </is>
      </c>
      <c r="E34" t="inlineStr">
        <is>
          <t>NYKVARN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19487-2023</t>
        </is>
      </c>
      <c r="B35" s="1" t="n">
        <v>45050</v>
      </c>
      <c r="C35" s="1" t="n">
        <v>46205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8096-2023</t>
        </is>
      </c>
      <c r="B36" s="1" t="n">
        <v>44974</v>
      </c>
      <c r="C36" s="1" t="n">
        <v>46205</v>
      </c>
      <c r="D36" t="inlineStr">
        <is>
          <t>STOCKHOLMS LÄN</t>
        </is>
      </c>
      <c r="E36" t="inlineStr">
        <is>
          <t>NYKVARN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40168-2023</t>
        </is>
      </c>
      <c r="B37" s="1" t="n">
        <v>45169</v>
      </c>
      <c r="C37" s="1" t="n">
        <v>46205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6857-2022</t>
        </is>
      </c>
      <c r="B38" s="1" t="n">
        <v>44602</v>
      </c>
      <c r="C38" s="1" t="n">
        <v>46205</v>
      </c>
      <c r="D38" t="inlineStr">
        <is>
          <t>STOCKHOLMS LÄN</t>
        </is>
      </c>
      <c r="E38" t="inlineStr">
        <is>
          <t>NYKVARN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71540-2021</t>
        </is>
      </c>
      <c r="B39" s="1" t="n">
        <v>44540</v>
      </c>
      <c r="C39" s="1" t="n">
        <v>46205</v>
      </c>
      <c r="D39" t="inlineStr">
        <is>
          <t>STOCKHOLMS LÄN</t>
        </is>
      </c>
      <c r="E39" t="inlineStr">
        <is>
          <t>NYKVARN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38535-2025</t>
        </is>
      </c>
      <c r="B40" s="1" t="n">
        <v>45884</v>
      </c>
      <c r="C40" s="1" t="n">
        <v>46205</v>
      </c>
      <c r="D40" t="inlineStr">
        <is>
          <t>STOCKHOLMS LÄN</t>
        </is>
      </c>
      <c r="E40" t="inlineStr">
        <is>
          <t>NYKVARN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60324-2022</t>
        </is>
      </c>
      <c r="B41" s="1" t="n">
        <v>44910</v>
      </c>
      <c r="C41" s="1" t="n">
        <v>46205</v>
      </c>
      <c r="D41" t="inlineStr">
        <is>
          <t>STOCKHOLMS LÄN</t>
        </is>
      </c>
      <c r="E41" t="inlineStr">
        <is>
          <t>NYKVARN</t>
        </is>
      </c>
      <c r="F41" t="inlineStr">
        <is>
          <t>Kyrkan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36986-2025</t>
        </is>
      </c>
      <c r="B42" s="1" t="n">
        <v>45874</v>
      </c>
      <c r="C42" s="1" t="n">
        <v>46205</v>
      </c>
      <c r="D42" t="inlineStr">
        <is>
          <t>STOCKHOLMS LÄN</t>
        </is>
      </c>
      <c r="E42" t="inlineStr">
        <is>
          <t>NYKVARN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53307-2023</t>
        </is>
      </c>
      <c r="B43" s="1" t="n">
        <v>45229</v>
      </c>
      <c r="C43" s="1" t="n">
        <v>46205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53337-2023</t>
        </is>
      </c>
      <c r="B44" s="1" t="n">
        <v>45229</v>
      </c>
      <c r="C44" s="1" t="n">
        <v>46205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54670-2023</t>
        </is>
      </c>
      <c r="B45" s="1" t="n">
        <v>45235</v>
      </c>
      <c r="C45" s="1" t="n">
        <v>46205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51813-2024</t>
        </is>
      </c>
      <c r="B46" s="1" t="n">
        <v>45607</v>
      </c>
      <c r="C46" s="1" t="n">
        <v>46205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18793-2023</t>
        </is>
      </c>
      <c r="B47" s="1" t="n">
        <v>45044</v>
      </c>
      <c r="C47" s="1" t="n">
        <v>46205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22529-2022</t>
        </is>
      </c>
      <c r="B48" s="1" t="n">
        <v>44713</v>
      </c>
      <c r="C48" s="1" t="n">
        <v>46205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59348-2025</t>
        </is>
      </c>
      <c r="B49" s="1" t="n">
        <v>45989</v>
      </c>
      <c r="C49" s="1" t="n">
        <v>46205</v>
      </c>
      <c r="D49" t="inlineStr">
        <is>
          <t>STOCKHOLMS LÄN</t>
        </is>
      </c>
      <c r="E49" t="inlineStr">
        <is>
          <t>NYKVARN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51787-2021</t>
        </is>
      </c>
      <c r="B50" s="1" t="n">
        <v>44462</v>
      </c>
      <c r="C50" s="1" t="n">
        <v>46205</v>
      </c>
      <c r="D50" t="inlineStr">
        <is>
          <t>STOCKHOLMS LÄN</t>
        </is>
      </c>
      <c r="E50" t="inlineStr">
        <is>
          <t>NYKVARN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11045-2026</t>
        </is>
      </c>
      <c r="B51" s="1" t="n">
        <v>46079</v>
      </c>
      <c r="C51" s="1" t="n">
        <v>46205</v>
      </c>
      <c r="D51" t="inlineStr">
        <is>
          <t>STOCKHOLMS LÄN</t>
        </is>
      </c>
      <c r="E51" t="inlineStr">
        <is>
          <t>NYKVARN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44947-2021</t>
        </is>
      </c>
      <c r="B52" s="1" t="n">
        <v>44438</v>
      </c>
      <c r="C52" s="1" t="n">
        <v>46205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54583-2023</t>
        </is>
      </c>
      <c r="B53" s="1" t="n">
        <v>45233</v>
      </c>
      <c r="C53" s="1" t="n">
        <v>46205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63586-2023</t>
        </is>
      </c>
      <c r="B54" s="1" t="n">
        <v>45275</v>
      </c>
      <c r="C54" s="1" t="n">
        <v>46205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32555-2023</t>
        </is>
      </c>
      <c r="B55" s="1" t="n">
        <v>45121</v>
      </c>
      <c r="C55" s="1" t="n">
        <v>46205</v>
      </c>
      <c r="D55" t="inlineStr">
        <is>
          <t>STOCKHOLMS LÄN</t>
        </is>
      </c>
      <c r="E55" t="inlineStr">
        <is>
          <t>NYKVARN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63592-2023</t>
        </is>
      </c>
      <c r="B56" s="1" t="n">
        <v>45275</v>
      </c>
      <c r="C56" s="1" t="n">
        <v>46205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19217-2026</t>
        </is>
      </c>
      <c r="B57" s="1" t="n">
        <v>46132</v>
      </c>
      <c r="C57" s="1" t="n">
        <v>46205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24796-2026</t>
        </is>
      </c>
      <c r="B58" s="1" t="n">
        <v>46171</v>
      </c>
      <c r="C58" s="1" t="n">
        <v>46205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18780-2026</t>
        </is>
      </c>
      <c r="B59" s="1" t="n">
        <v>46128</v>
      </c>
      <c r="C59" s="1" t="n">
        <v>46205</v>
      </c>
      <c r="D59" t="inlineStr">
        <is>
          <t>STOCKHOLMS LÄN</t>
        </is>
      </c>
      <c r="E59" t="inlineStr">
        <is>
          <t>NYKVARN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17328-2025</t>
        </is>
      </c>
      <c r="B60" s="1" t="n">
        <v>45756</v>
      </c>
      <c r="C60" s="1" t="n">
        <v>46205</v>
      </c>
      <c r="D60" t="inlineStr">
        <is>
          <t>STOCKHOLMS LÄN</t>
        </is>
      </c>
      <c r="E60" t="inlineStr">
        <is>
          <t>NYKVARN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63400-2023</t>
        </is>
      </c>
      <c r="B61" s="1" t="n">
        <v>45274</v>
      </c>
      <c r="C61" s="1" t="n">
        <v>46205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41681-2023</t>
        </is>
      </c>
      <c r="B62" s="1" t="n">
        <v>45173</v>
      </c>
      <c r="C62" s="1" t="n">
        <v>46205</v>
      </c>
      <c r="D62" t="inlineStr">
        <is>
          <t>STOCKHOLMS LÄN</t>
        </is>
      </c>
      <c r="E62" t="inlineStr">
        <is>
          <t>NYKVARN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19903-2023</t>
        </is>
      </c>
      <c r="B63" s="1" t="n">
        <v>45054</v>
      </c>
      <c r="C63" s="1" t="n">
        <v>46205</v>
      </c>
      <c r="D63" t="inlineStr">
        <is>
          <t>STOCKHOLMS LÄN</t>
        </is>
      </c>
      <c r="E63" t="inlineStr">
        <is>
          <t>NYKVARN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</v>
      </c>
      <c r="C64" s="1" t="n">
        <v>46205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50020-2023</t>
        </is>
      </c>
      <c r="B65" s="1" t="n">
        <v>45215</v>
      </c>
      <c r="C65" s="1" t="n">
        <v>46205</v>
      </c>
      <c r="D65" t="inlineStr">
        <is>
          <t>STOCKHOLMS LÄN</t>
        </is>
      </c>
      <c r="E65" t="inlineStr">
        <is>
          <t>NYKVARN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25278-2022</t>
        </is>
      </c>
      <c r="B66" s="1" t="n">
        <v>44730</v>
      </c>
      <c r="C66" s="1" t="n">
        <v>46205</v>
      </c>
      <c r="D66" t="inlineStr">
        <is>
          <t>STOCKHOLMS LÄN</t>
        </is>
      </c>
      <c r="E66" t="inlineStr">
        <is>
          <t>NYKVARN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6854-2022</t>
        </is>
      </c>
      <c r="B67" s="1" t="n">
        <v>44602</v>
      </c>
      <c r="C67" s="1" t="n">
        <v>46205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52878-2022</t>
        </is>
      </c>
      <c r="B68" s="1" t="n">
        <v>44872</v>
      </c>
      <c r="C68" s="1" t="n">
        <v>46205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24283-2022</t>
        </is>
      </c>
      <c r="B69" s="1" t="n">
        <v>44725</v>
      </c>
      <c r="C69" s="1" t="n">
        <v>46205</v>
      </c>
      <c r="D69" t="inlineStr">
        <is>
          <t>STOCKHOLMS LÄN</t>
        </is>
      </c>
      <c r="E69" t="inlineStr">
        <is>
          <t>NYKVARN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2172-2024</t>
        </is>
      </c>
      <c r="B70" s="1" t="n">
        <v>45309</v>
      </c>
      <c r="C70" s="1" t="n">
        <v>46205</v>
      </c>
      <c r="D70" t="inlineStr">
        <is>
          <t>STOCKHOLMS LÄN</t>
        </is>
      </c>
      <c r="E70" t="inlineStr">
        <is>
          <t>NYKVARN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7926-2023</t>
        </is>
      </c>
      <c r="B71" s="1" t="n">
        <v>44973</v>
      </c>
      <c r="C71" s="1" t="n">
        <v>46205</v>
      </c>
      <c r="D71" t="inlineStr">
        <is>
          <t>STOCKHOLMS LÄN</t>
        </is>
      </c>
      <c r="E71" t="inlineStr">
        <is>
          <t>NYKVARN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44969-2022</t>
        </is>
      </c>
      <c r="B72" s="1" t="n">
        <v>44841</v>
      </c>
      <c r="C72" s="1" t="n">
        <v>46205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11430-2022</t>
        </is>
      </c>
      <c r="B73" s="1" t="n">
        <v>44630</v>
      </c>
      <c r="C73" s="1" t="n">
        <v>46205</v>
      </c>
      <c r="D73" t="inlineStr">
        <is>
          <t>STOCKHOLMS LÄN</t>
        </is>
      </c>
      <c r="E73" t="inlineStr">
        <is>
          <t>NYKVARN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18222-2025</t>
        </is>
      </c>
      <c r="B74" s="1" t="n">
        <v>45761</v>
      </c>
      <c r="C74" s="1" t="n">
        <v>46205</v>
      </c>
      <c r="D74" t="inlineStr">
        <is>
          <t>STOCKHOLMS LÄN</t>
        </is>
      </c>
      <c r="E74" t="inlineStr">
        <is>
          <t>NYKVARN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2177-2024</t>
        </is>
      </c>
      <c r="B75" s="1" t="n">
        <v>45309</v>
      </c>
      <c r="C75" s="1" t="n">
        <v>46205</v>
      </c>
      <c r="D75" t="inlineStr">
        <is>
          <t>STOCKHOLMS LÄN</t>
        </is>
      </c>
      <c r="E75" t="inlineStr">
        <is>
          <t>NYKVARN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23655-2025</t>
        </is>
      </c>
      <c r="B76" s="1" t="n">
        <v>45792</v>
      </c>
      <c r="C76" s="1" t="n">
        <v>46205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23284-2025</t>
        </is>
      </c>
      <c r="B77" s="1" t="n">
        <v>45791</v>
      </c>
      <c r="C77" s="1" t="n">
        <v>46205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2026-07-02T00:58:40Z</dcterms:created>
  <dcterms:modified xmlns:dcterms="http://purl.org/dc/terms/" xmlns:xsi="http://www.w3.org/2001/XMLSchema-instance" xsi:type="dcterms:W3CDTF">2026-07-02T00:58:40Z</dcterms:modified>
</cp:coreProperties>
</file>