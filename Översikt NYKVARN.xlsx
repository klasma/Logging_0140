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46138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46138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46138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46138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46138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23279-2025</t>
        </is>
      </c>
      <c r="B10" s="1" t="n">
        <v>45791</v>
      </c>
      <c r="C10" s="1" t="n">
        <v>46138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23279-2025 artfynd.xlsx", "A 23279-2025")</f>
        <v/>
      </c>
      <c r="T10">
        <f>HYPERLINK("https://klasma.github.io/Logging_0140/kartor/A 23279-2025 karta.png", "A 23279-2025")</f>
        <v/>
      </c>
      <c r="V10">
        <f>HYPERLINK("https://klasma.github.io/Logging_0140/klagomål/A 23279-2025 FSC-klagomål.docx", "A 23279-2025")</f>
        <v/>
      </c>
      <c r="W10">
        <f>HYPERLINK("https://klasma.github.io/Logging_0140/klagomålsmail/A 23279-2025 FSC-klagomål mail.docx", "A 23279-2025")</f>
        <v/>
      </c>
      <c r="X10">
        <f>HYPERLINK("https://klasma.github.io/Logging_0140/tillsyn/A 23279-2025 tillsynsbegäran.docx", "A 23279-2025")</f>
        <v/>
      </c>
      <c r="Y10">
        <f>HYPERLINK("https://klasma.github.io/Logging_0140/tillsynsmail/A 23279-2025 tillsynsbegäran mail.docx", "A 23279-2025")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46138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46138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46138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46138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8285-2022</t>
        </is>
      </c>
      <c r="B15" s="1" t="n">
        <v>44610</v>
      </c>
      <c r="C15" s="1" t="n">
        <v>46138</v>
      </c>
      <c r="D15" t="inlineStr">
        <is>
          <t>STOCKHOLMS LÄN</t>
        </is>
      </c>
      <c r="E15" t="inlineStr">
        <is>
          <t>NYKVARN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8285-2022 artfynd.xlsx", "A 8285-2022")</f>
        <v/>
      </c>
      <c r="T15">
        <f>HYPERLINK("https://klasma.github.io/Logging_0140/kartor/A 8285-2022 karta.png", "A 8285-2022")</f>
        <v/>
      </c>
      <c r="V15">
        <f>HYPERLINK("https://klasma.github.io/Logging_0140/klagomål/A 8285-2022 FSC-klagomål.docx", "A 8285-2022")</f>
        <v/>
      </c>
      <c r="W15">
        <f>HYPERLINK("https://klasma.github.io/Logging_0140/klagomålsmail/A 8285-2022 FSC-klagomål mail.docx", "A 8285-2022")</f>
        <v/>
      </c>
      <c r="X15">
        <f>HYPERLINK("https://klasma.github.io/Logging_0140/tillsyn/A 8285-2022 tillsynsbegäran.docx", "A 8285-2022")</f>
        <v/>
      </c>
      <c r="Y15">
        <f>HYPERLINK("https://klasma.github.io/Logging_0140/tillsynsmail/A 8285-2022 tillsynsbegäran mail.docx", "A 8285-2022")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46138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46138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46138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46138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46138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46138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6854-2022</t>
        </is>
      </c>
      <c r="B26" s="1" t="n">
        <v>44602</v>
      </c>
      <c r="C26" s="1" t="n">
        <v>46138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46138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46138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46138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63592-2023</t>
        </is>
      </c>
      <c r="B30" s="1" t="n">
        <v>45275</v>
      </c>
      <c r="C30" s="1" t="n">
        <v>46138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46138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6857-2022</t>
        </is>
      </c>
      <c r="B32" s="1" t="n">
        <v>44602.69712962963</v>
      </c>
      <c r="C32" s="1" t="n">
        <v>46138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52878-2022</t>
        </is>
      </c>
      <c r="B33" s="1" t="n">
        <v>44872</v>
      </c>
      <c r="C33" s="1" t="n">
        <v>46138</v>
      </c>
      <c r="D33" t="inlineStr">
        <is>
          <t>STOCKHOLMS LÄN</t>
        </is>
      </c>
      <c r="E33" t="inlineStr">
        <is>
          <t>NYKVARN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23152-2021</t>
        </is>
      </c>
      <c r="B34" s="1" t="n">
        <v>44332</v>
      </c>
      <c r="C34" s="1" t="n">
        <v>46138</v>
      </c>
      <c r="D34" t="inlineStr">
        <is>
          <t>STOCKHOLMS LÄN</t>
        </is>
      </c>
      <c r="E34" t="inlineStr">
        <is>
          <t>NYKVARN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46138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18222-2025</t>
        </is>
      </c>
      <c r="B36" s="1" t="n">
        <v>45761.7321875</v>
      </c>
      <c r="C36" s="1" t="n">
        <v>46138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52963-2022</t>
        </is>
      </c>
      <c r="B37" s="1" t="n">
        <v>44875</v>
      </c>
      <c r="C37" s="1" t="n">
        <v>46138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46138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46138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46138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44969-2022</t>
        </is>
      </c>
      <c r="B41" s="1" t="n">
        <v>44841.58752314815</v>
      </c>
      <c r="C41" s="1" t="n">
        <v>46138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45309.63112268518</v>
      </c>
      <c r="C42" s="1" t="n">
        <v>46138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2177-2024</t>
        </is>
      </c>
      <c r="B43" s="1" t="n">
        <v>45309.64600694444</v>
      </c>
      <c r="C43" s="1" t="n">
        <v>46138</v>
      </c>
      <c r="D43" t="inlineStr">
        <is>
          <t>STOCKHOLMS LÄN</t>
        </is>
      </c>
      <c r="E43" t="inlineStr">
        <is>
          <t>NYKVARN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46138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46138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23284-2025</t>
        </is>
      </c>
      <c r="B46" s="1" t="n">
        <v>45791.57525462963</v>
      </c>
      <c r="C46" s="1" t="n">
        <v>46138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23655-2025</t>
        </is>
      </c>
      <c r="B47" s="1" t="n">
        <v>45792</v>
      </c>
      <c r="C47" s="1" t="n">
        <v>46138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46138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46138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43230-2022</t>
        </is>
      </c>
      <c r="B50" s="1" t="n">
        <v>44834</v>
      </c>
      <c r="C50" s="1" t="n">
        <v>46138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44947-2021</t>
        </is>
      </c>
      <c r="B51" s="1" t="n">
        <v>44438.69939814815</v>
      </c>
      <c r="C51" s="1" t="n">
        <v>46138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46138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26755-2025</t>
        </is>
      </c>
      <c r="B53" s="1" t="n">
        <v>45810.55623842592</v>
      </c>
      <c r="C53" s="1" t="n">
        <v>46138</v>
      </c>
      <c r="D53" t="inlineStr">
        <is>
          <t>STOCKHOLMS LÄN</t>
        </is>
      </c>
      <c r="E53" t="inlineStr">
        <is>
          <t>NYKVARN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28598-2025</t>
        </is>
      </c>
      <c r="B54" s="1" t="n">
        <v>45819.59659722223</v>
      </c>
      <c r="C54" s="1" t="n">
        <v>46138</v>
      </c>
      <c r="D54" t="inlineStr">
        <is>
          <t>STOCKHOLMS LÄN</t>
        </is>
      </c>
      <c r="E54" t="inlineStr">
        <is>
          <t>NYKVARN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28607-2025</t>
        </is>
      </c>
      <c r="B55" s="1" t="n">
        <v>45819.60226851852</v>
      </c>
      <c r="C55" s="1" t="n">
        <v>46138</v>
      </c>
      <c r="D55" t="inlineStr">
        <is>
          <t>STOCKHOLMS LÄN</t>
        </is>
      </c>
      <c r="E55" t="inlineStr">
        <is>
          <t>NYKVARN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11430-2022</t>
        </is>
      </c>
      <c r="B56" s="1" t="n">
        <v>44630.5968287037</v>
      </c>
      <c r="C56" s="1" t="n">
        <v>46138</v>
      </c>
      <c r="D56" t="inlineStr">
        <is>
          <t>STOCKHOLMS LÄN</t>
        </is>
      </c>
      <c r="E56" t="inlineStr">
        <is>
          <t>NYKVARN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20711-2021</t>
        </is>
      </c>
      <c r="B57" s="1" t="n">
        <v>44316</v>
      </c>
      <c r="C57" s="1" t="n">
        <v>46138</v>
      </c>
      <c r="D57" t="inlineStr">
        <is>
          <t>STOCKHOLMS LÄN</t>
        </is>
      </c>
      <c r="E57" t="inlineStr">
        <is>
          <t>NYKVARN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59342-2025</t>
        </is>
      </c>
      <c r="B58" s="1" t="n">
        <v>45989.38784722222</v>
      </c>
      <c r="C58" s="1" t="n">
        <v>46138</v>
      </c>
      <c r="D58" t="inlineStr">
        <is>
          <t>STOCKHOLMS LÄN</t>
        </is>
      </c>
      <c r="E58" t="inlineStr">
        <is>
          <t>NYKVARN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59348-2025</t>
        </is>
      </c>
      <c r="B59" s="1" t="n">
        <v>45989.40099537037</v>
      </c>
      <c r="C59" s="1" t="n">
        <v>46138</v>
      </c>
      <c r="D59" t="inlineStr">
        <is>
          <t>STOCKHOLMS LÄN</t>
        </is>
      </c>
      <c r="E59" t="inlineStr">
        <is>
          <t>NYKVARN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40168-2023</t>
        </is>
      </c>
      <c r="B60" s="1" t="n">
        <v>45169.38591435185</v>
      </c>
      <c r="C60" s="1" t="n">
        <v>46138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46138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24283-2022</t>
        </is>
      </c>
      <c r="B62" s="1" t="n">
        <v>44725.79453703704</v>
      </c>
      <c r="C62" s="1" t="n">
        <v>46138</v>
      </c>
      <c r="D62" t="inlineStr">
        <is>
          <t>STOCKHOLMS LÄN</t>
        </is>
      </c>
      <c r="E62" t="inlineStr">
        <is>
          <t>NYKVARN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8096-2023</t>
        </is>
      </c>
      <c r="B63" s="1" t="n">
        <v>44974.389375</v>
      </c>
      <c r="C63" s="1" t="n">
        <v>46138</v>
      </c>
      <c r="D63" t="inlineStr">
        <is>
          <t>STOCKHOLMS LÄN</t>
        </is>
      </c>
      <c r="E63" t="inlineStr">
        <is>
          <t>NYKVARN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46138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54670-2023</t>
        </is>
      </c>
      <c r="B65" s="1" t="n">
        <v>45235</v>
      </c>
      <c r="C65" s="1" t="n">
        <v>46138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46138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46138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46138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15912-2026</t>
        </is>
      </c>
      <c r="B69" s="1" t="n">
        <v>46107.64332175926</v>
      </c>
      <c r="C69" s="1" t="n">
        <v>46138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19487-2023</t>
        </is>
      </c>
      <c r="B70" s="1" t="n">
        <v>45050</v>
      </c>
      <c r="C70" s="1" t="n">
        <v>46138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18793-2023</t>
        </is>
      </c>
      <c r="B71" s="1" t="n">
        <v>45044</v>
      </c>
      <c r="C71" s="1" t="n">
        <v>46138</v>
      </c>
      <c r="D71" t="inlineStr">
        <is>
          <t>STOCKHOLMS LÄN</t>
        </is>
      </c>
      <c r="E71" t="inlineStr">
        <is>
          <t>NYKVARN</t>
        </is>
      </c>
      <c r="F71" t="inlineStr">
        <is>
          <t>Kyrkan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46138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63586-2023</t>
        </is>
      </c>
      <c r="B73" s="1" t="n">
        <v>45275</v>
      </c>
      <c r="C73" s="1" t="n">
        <v>46138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50031-2023</t>
        </is>
      </c>
      <c r="B74" s="1" t="n">
        <v>45215.48474537037</v>
      </c>
      <c r="C74" s="1" t="n">
        <v>46138</v>
      </c>
      <c r="D74" t="inlineStr">
        <is>
          <t>STOCKHOLMS LÄN</t>
        </is>
      </c>
      <c r="E74" t="inlineStr">
        <is>
          <t>NYKVARN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46138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71540-2021</t>
        </is>
      </c>
      <c r="B76" s="1" t="n">
        <v>44540</v>
      </c>
      <c r="C76" s="1" t="n">
        <v>46138</v>
      </c>
      <c r="D76" t="inlineStr">
        <is>
          <t>STOCKHOLMS LÄN</t>
        </is>
      </c>
      <c r="E76" t="inlineStr">
        <is>
          <t>NYKVARN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11045-2026</t>
        </is>
      </c>
      <c r="B77" s="1" t="n">
        <v>46079.58353009259</v>
      </c>
      <c r="C77" s="1" t="n">
        <v>46138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46138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22529-2022</t>
        </is>
      </c>
      <c r="B79" s="1" t="n">
        <v>44713</v>
      </c>
      <c r="C79" s="1" t="n">
        <v>46138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18780-2026</t>
        </is>
      </c>
      <c r="B80" s="1" t="n">
        <v>46128.58193287037</v>
      </c>
      <c r="C80" s="1" t="n">
        <v>46138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19216-2026</t>
        </is>
      </c>
      <c r="B81" s="1" t="n">
        <v>46132.62922453704</v>
      </c>
      <c r="C81" s="1" t="n">
        <v>46138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19217-2026</t>
        </is>
      </c>
      <c r="B82" s="1" t="n">
        <v>46132.63274305555</v>
      </c>
      <c r="C82" s="1" t="n">
        <v>46138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39539-2023</t>
        </is>
      </c>
      <c r="B83" s="1" t="n">
        <v>45167</v>
      </c>
      <c r="C83" s="1" t="n">
        <v>46138</v>
      </c>
      <c r="D83" t="inlineStr">
        <is>
          <t>STOCKHOLMS LÄN</t>
        </is>
      </c>
      <c r="E83" t="inlineStr">
        <is>
          <t>NYKVARN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6876-2022</t>
        </is>
      </c>
      <c r="B84" s="1" t="n">
        <v>44602</v>
      </c>
      <c r="C84" s="1" t="n">
        <v>46138</v>
      </c>
      <c r="D84" t="inlineStr">
        <is>
          <t>STOCKHOLMS LÄN</t>
        </is>
      </c>
      <c r="E84" t="inlineStr">
        <is>
          <t>NYKVARN</t>
        </is>
      </c>
      <c r="F84" t="inlineStr">
        <is>
          <t>Kommuner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19903-2023</t>
        </is>
      </c>
      <c r="B85" s="1" t="n">
        <v>45054</v>
      </c>
      <c r="C85" s="1" t="n">
        <v>46138</v>
      </c>
      <c r="D85" t="inlineStr">
        <is>
          <t>STOCKHOLMS LÄN</t>
        </is>
      </c>
      <c r="E85" t="inlineStr">
        <is>
          <t>NYKVARN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53337-2023</t>
        </is>
      </c>
      <c r="B86" s="1" t="n">
        <v>45229.63960648148</v>
      </c>
      <c r="C86" s="1" t="n">
        <v>46138</v>
      </c>
      <c r="D86" t="inlineStr">
        <is>
          <t>STOCKHOLMS LÄN</t>
        </is>
      </c>
      <c r="E86" t="inlineStr">
        <is>
          <t>NYKVARN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51813-2024</t>
        </is>
      </c>
      <c r="B87" s="1" t="n">
        <v>45607.48734953703</v>
      </c>
      <c r="C87" s="1" t="n">
        <v>46138</v>
      </c>
      <c r="D87" t="inlineStr">
        <is>
          <t>STOCKHOLMS LÄN</t>
        </is>
      </c>
      <c r="E87" t="inlineStr">
        <is>
          <t>NYKVARN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2026-04-26T10:53:16Z</dcterms:created>
  <dcterms:modified xmlns:dcterms="http://purl.org/dc/terms/" xmlns:xsi="http://www.w3.org/2001/XMLSchema-instance" xsi:type="dcterms:W3CDTF">2026-04-26T10:53:17Z</dcterms:modified>
</cp:coreProperties>
</file>