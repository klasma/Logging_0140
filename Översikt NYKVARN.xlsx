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46257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46257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46257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46257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46257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59342-2025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46257</v>
      </c>
      <c r="F9" t="inlineStr">
        <is>
          <t>STOCKHOLMS LÄN</t>
        </is>
      </c>
      <c r="G9" t="inlineStr">
        <is>
          <t>NYKVARN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HYPERLINK("https://klasma.github.io/Logging_0140/artfynd/A 59342-2025 artfynd.xlsx", "A 59342-2025")</f>
        <v/>
      </c>
      <c r="X9">
        <f>HYPERLINK("https://klasma.github.io/Logging_0140/kartor/A 59342-2025 karta.png", "A 59342-2025")</f>
        <v/>
      </c>
      <c r="Y9">
        <f>HYPERLINK("https://klasma.github.io/Logging_0140/kartor_geotiff/A 59342-2025 georefererad karta.tif", "A 59342-2025")</f>
        <v/>
      </c>
      <c r="AA9">
        <f>HYPERLINK("https://klasma.github.io/Logging_0140/klagomål/A 59342-2025 FSC-klagomål.docx", "A 59342-2025")</f>
        <v/>
      </c>
      <c r="AB9">
        <f>HYPERLINK("https://klasma.github.io/Logging_0140/klagomålsmail/A 59342-2025 FSC-klagomål mail.docx", "A 59342-2025")</f>
        <v/>
      </c>
      <c r="AC9">
        <f>HYPERLINK("https://klasma.github.io/Logging_0140/tillsyn/A 59342-2025 tillsynsbegäran.docx", "A 59342-2025")</f>
        <v/>
      </c>
      <c r="AD9">
        <f>HYPERLINK("https://klasma.github.io/Logging_0140/tillsynsmail/A 59342-2025 tillsynsbegäran mail.docx", "A 59342-2025")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46257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46257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37597-2024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46257</v>
      </c>
      <c r="F12" t="inlineStr">
        <is>
          <t>STOCKHOLMS LÄN</t>
        </is>
      </c>
      <c r="G12" t="inlineStr">
        <is>
          <t>NYKVARN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Röd glada</t>
        </is>
      </c>
      <c r="W12">
        <f>HYPERLINK("https://klasma.github.io/Logging_0140/artfynd/A 37597-2024 artfynd.xlsx", "A 37597-2024")</f>
        <v/>
      </c>
      <c r="X12">
        <f>HYPERLINK("https://klasma.github.io/Logging_0140/kartor/A 37597-2024 karta.png", "A 37597-2024")</f>
        <v/>
      </c>
      <c r="Y12">
        <f>HYPERLINK("https://klasma.github.io/Logging_0140/kartor_geotiff/A 37597-2024 georefererad karta.tif", "A 37597-2024")</f>
        <v/>
      </c>
      <c r="AA12">
        <f>HYPERLINK("https://klasma.github.io/Logging_0140/klagomål/A 37597-2024 FSC-klagomål.docx", "A 37597-2024")</f>
        <v/>
      </c>
      <c r="AB12">
        <f>HYPERLINK("https://klasma.github.io/Logging_0140/klagomålsmail/A 37597-2024 FSC-klagomål mail.docx", "A 37597-2024")</f>
        <v/>
      </c>
      <c r="AC12">
        <f>HYPERLINK("https://klasma.github.io/Logging_0140/tillsyn/A 37597-2024 tillsynsbegäran.docx", "A 37597-2024")</f>
        <v/>
      </c>
      <c r="AD12">
        <f>HYPERLINK("https://klasma.github.io/Logging_0140/tillsynsmail/A 37597-2024 tillsynsbegäran mail.docx", "A 37597-2024")</f>
        <v/>
      </c>
      <c r="AE12">
        <f>HYPERLINK("https://klasma.github.io/Logging_0140/fåglar/A 37597-2024 prioriterade fågelarter.docx", "A 37597-2024")</f>
        <v/>
      </c>
    </row>
    <row r="13" ht="15" customHeight="1">
      <c r="A13" t="inlineStr">
        <is>
          <t>A 39539-2023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45167</v>
      </c>
      <c r="E13" s="1" t="n">
        <v>46257</v>
      </c>
      <c r="F13" t="inlineStr">
        <is>
          <t>STOCKHOLMS LÄN</t>
        </is>
      </c>
      <c r="G13" t="inlineStr">
        <is>
          <t>NYKVARN</t>
        </is>
      </c>
      <c r="I13" t="n">
        <v>2.3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HYPERLINK("https://klasma.github.io/Logging_0140/artfynd/A 39539-2023 artfynd.xlsx", "A 39539-2023")</f>
        <v/>
      </c>
      <c r="X13">
        <f>HYPERLINK("https://klasma.github.io/Logging_0140/kartor/A 39539-2023 karta.png", "A 39539-2023")</f>
        <v/>
      </c>
      <c r="Y13">
        <f>HYPERLINK("https://klasma.github.io/Logging_0140/kartor_geotiff/A 39539-2023 georefererad karta.tif", "A 39539-2023")</f>
        <v/>
      </c>
      <c r="AA13">
        <f>HYPERLINK("https://klasma.github.io/Logging_0140/klagomål/A 39539-2023 FSC-klagomål.docx", "A 39539-2023")</f>
        <v/>
      </c>
      <c r="AB13">
        <f>HYPERLINK("https://klasma.github.io/Logging_0140/klagomålsmail/A 39539-2023 FSC-klagomål mail.docx", "A 39539-2023")</f>
        <v/>
      </c>
      <c r="AC13">
        <f>HYPERLINK("https://klasma.github.io/Logging_0140/tillsyn/A 39539-2023 tillsynsbegäran.docx", "A 39539-2023")</f>
        <v/>
      </c>
      <c r="AD13">
        <f>HYPERLINK("https://klasma.github.io/Logging_0140/tillsynsmail/A 39539-2023 tillsynsbegäran mail.docx", "A 39539-2023")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46257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46257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46257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46257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8.699999999999999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Mattlummer</t>
        </is>
      </c>
      <c r="W17">
        <f>HYPERLINK("https://klasma.github.io/Logging_0140/artfynd/A 17009-2026 artfynd.xlsx", "A 17009-2026")</f>
        <v/>
      </c>
      <c r="X17">
        <f>HYPERLINK("https://klasma.github.io/Logging_0140/kartor/A 17009-2026 karta.png", "A 17009-2026")</f>
        <v/>
      </c>
      <c r="Y17">
        <f>HYPERLINK("https://klasma.github.io/Logging_0140/kartor_geotiff/A 17009-2026 georefererad karta.tif", "A 17009-2026")</f>
        <v/>
      </c>
      <c r="AA17">
        <f>HYPERLINK("https://klasma.github.io/Logging_0140/klagomål/A 17009-2026 FSC-klagomål.docx", "A 17009-2026")</f>
        <v/>
      </c>
      <c r="AB17">
        <f>HYPERLINK("https://klasma.github.io/Logging_0140/klagomålsmail/A 17009-2026 FSC-klagomål mail.docx", "A 17009-2026")</f>
        <v/>
      </c>
      <c r="AC17">
        <f>HYPERLINK("https://klasma.github.io/Logging_0140/tillsyn/A 17009-2026 tillsynsbegäran.docx", "A 17009-2026")</f>
        <v/>
      </c>
      <c r="AD17">
        <f>HYPERLINK("https://klasma.github.io/Logging_0140/tillsynsmail/A 17009-2026 tillsynsbegäran mail.docx", "A 17009-2026")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46257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46257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46257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46257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46257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46257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46257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46257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46257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46257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46257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46257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46257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46257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43230-2022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46257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46257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46257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46257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46257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46257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46257</v>
      </c>
      <c r="F38" t="inlineStr">
        <is>
          <t>STOCKHOLMS LÄN</t>
        </is>
      </c>
      <c r="G38" t="inlineStr">
        <is>
          <t>NYKVARN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52878-2022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46257</v>
      </c>
      <c r="F39" t="inlineStr">
        <is>
          <t>STOCKHOLMS LÄN</t>
        </is>
      </c>
      <c r="G39" t="inlineStr">
        <is>
          <t>NYKVARN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46257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45173</v>
      </c>
      <c r="E41" s="1" t="n">
        <v>46257</v>
      </c>
      <c r="F41" t="inlineStr">
        <is>
          <t>STOCKHOLMS LÄN</t>
        </is>
      </c>
      <c r="G41" t="inlineStr">
        <is>
          <t>NYKVARN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24283-2022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44725</v>
      </c>
      <c r="E42" s="1" t="n">
        <v>46257</v>
      </c>
      <c r="F42" t="inlineStr">
        <is>
          <t>STOCKHOLMS LÄN</t>
        </is>
      </c>
      <c r="G42" t="inlineStr">
        <is>
          <t>NYKVARN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44969-2022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44841</v>
      </c>
      <c r="E43" s="1" t="n">
        <v>46257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46257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46257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46257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46257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46257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46257</v>
      </c>
      <c r="F49" t="inlineStr">
        <is>
          <t>STOCKHOLMS LÄN</t>
        </is>
      </c>
      <c r="G49" t="inlineStr">
        <is>
          <t>NYKVARN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46257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46257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46257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45274</v>
      </c>
      <c r="E53" s="1" t="n">
        <v>46257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44602</v>
      </c>
      <c r="E54" s="1" t="n">
        <v>46257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32555-2023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45121</v>
      </c>
      <c r="E55" s="1" t="n">
        <v>46257</v>
      </c>
      <c r="F55" t="inlineStr">
        <is>
          <t>STOCKHOLMS LÄN</t>
        </is>
      </c>
      <c r="G55" t="inlineStr">
        <is>
          <t>NYKVARN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19487-2023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45050</v>
      </c>
      <c r="E56" s="1" t="n">
        <v>46257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44910</v>
      </c>
      <c r="E57" s="1" t="n">
        <v>46257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46257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46257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46257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46257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46257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46257</v>
      </c>
      <c r="F63" t="inlineStr">
        <is>
          <t>STOCKHOLMS LÄN</t>
        </is>
      </c>
      <c r="G63" t="inlineStr">
        <is>
          <t>NYKVARN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46257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46257</v>
      </c>
      <c r="F65" t="inlineStr">
        <is>
          <t>STOCKHOLMS LÄN</t>
        </is>
      </c>
      <c r="G65" t="inlineStr">
        <is>
          <t>NYKVARN</t>
        </is>
      </c>
      <c r="H65" t="inlineStr">
        <is>
          <t>Allmännings- och besparingsskogar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24796-2026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46257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46257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46257</v>
      </c>
      <c r="F68" t="inlineStr">
        <is>
          <t>STOCKHOLMS LÄN</t>
        </is>
      </c>
      <c r="G68" t="inlineStr">
        <is>
          <t>NYKVARN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46257</v>
      </c>
      <c r="F69" t="inlineStr">
        <is>
          <t>STOCKHOLMS LÄN</t>
        </is>
      </c>
      <c r="G69" t="inlineStr">
        <is>
          <t>NYKVARN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46257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46257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46257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46257</v>
      </c>
      <c r="F73" t="inlineStr">
        <is>
          <t>STOCKHOLMS LÄN</t>
        </is>
      </c>
      <c r="G73" t="inlineStr">
        <is>
          <t>NYKVARN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45607</v>
      </c>
      <c r="E74" s="1" t="n">
        <v>46257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46257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46257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46257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46257</v>
      </c>
      <c r="F78" t="inlineStr">
        <is>
          <t>STOCKHOLMS LÄN</t>
        </is>
      </c>
      <c r="G78" t="inlineStr">
        <is>
          <t>NYKVARN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46257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46257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46257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46257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46257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46257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46257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2026-08-23T01:53:30Z</dcterms:created>
  <dcterms:modified xmlns:dcterms="http://purl.org/dc/terms/" xmlns:xsi="http://www.w3.org/2001/XMLSchema-instance" xsi:type="dcterms:W3CDTF">2026-08-23T01:53:30Z</dcterms:modified>
</cp:coreProperties>
</file>