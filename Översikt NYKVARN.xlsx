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46261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46261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46261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46261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46261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15912-2026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46261</v>
      </c>
      <c r="F9" t="inlineStr">
        <is>
          <t>STOCKHOLMS LÄN</t>
        </is>
      </c>
      <c r="G9" t="inlineStr">
        <is>
          <t>NYKVARN</t>
        </is>
      </c>
      <c r="H9" t="inlineStr">
        <is>
          <t>Sveaskog</t>
        </is>
      </c>
      <c r="I9" t="n">
        <v>12.9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Skogsödla</t>
        </is>
      </c>
      <c r="W9">
        <f>HYPERLINK("https://klasma.github.io/Logging_0140/artfynd/A 15912-2026 artfynd.xlsx", "A 15912-2026")</f>
        <v/>
      </c>
      <c r="X9">
        <f>HYPERLINK("https://klasma.github.io/Logging_0140/kartor/A 15912-2026 karta.png", "A 15912-2026")</f>
        <v/>
      </c>
      <c r="Y9">
        <f>HYPERLINK("https://klasma.github.io/Logging_0140/kartor_geotiff/A 15912-2026 georefererad karta.tif", "A 15912-2026")</f>
        <v/>
      </c>
      <c r="AA9">
        <f>HYPERLINK("https://klasma.github.io/Logging_0140/klagomål/A 15912-2026 FSC-klagomål.docx", "A 15912-2026")</f>
        <v/>
      </c>
      <c r="AB9">
        <f>HYPERLINK("https://klasma.github.io/Logging_0140/klagomålsmail/A 15912-2026 FSC-klagomål mail.docx", "A 15912-2026")</f>
        <v/>
      </c>
      <c r="AC9">
        <f>HYPERLINK("https://klasma.github.io/Logging_0140/tillsyn/A 15912-2026 tillsynsbegäran.docx", "A 15912-2026")</f>
        <v/>
      </c>
      <c r="AD9">
        <f>HYPERLINK("https://klasma.github.io/Logging_0140/tillsynsmail/A 15912-2026 tillsynsbegäran mail.docx", "A 15912-2026")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46261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17009-2026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46114</v>
      </c>
      <c r="E11" s="1" t="n">
        <v>46261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8.699999999999999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Mattlummer</t>
        </is>
      </c>
      <c r="W11">
        <f>HYPERLINK("https://klasma.github.io/Logging_0140/artfynd/A 17009-2026 artfynd.xlsx", "A 17009-2026")</f>
        <v/>
      </c>
      <c r="X11">
        <f>HYPERLINK("https://klasma.github.io/Logging_0140/kartor/A 17009-2026 karta.png", "A 17009-2026")</f>
        <v/>
      </c>
      <c r="Y11">
        <f>HYPERLINK("https://klasma.github.io/Logging_0140/kartor_geotiff/A 17009-2026 georefererad karta.tif", "A 17009-2026")</f>
        <v/>
      </c>
      <c r="AA11">
        <f>HYPERLINK("https://klasma.github.io/Logging_0140/klagomål/A 17009-2026 FSC-klagomål.docx", "A 17009-2026")</f>
        <v/>
      </c>
      <c r="AB11">
        <f>HYPERLINK("https://klasma.github.io/Logging_0140/klagomålsmail/A 17009-2026 FSC-klagomål mail.docx", "A 17009-2026")</f>
        <v/>
      </c>
      <c r="AC11">
        <f>HYPERLINK("https://klasma.github.io/Logging_0140/tillsyn/A 17009-2026 tillsynsbegäran.docx", "A 17009-2026")</f>
        <v/>
      </c>
      <c r="AD11">
        <f>HYPERLINK("https://klasma.github.io/Logging_0140/tillsynsmail/A 17009-2026 tillsynsbegäran mail.docx", "A 17009-2026")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46261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11388-2024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45372</v>
      </c>
      <c r="E13" s="1" t="n">
        <v>46261</v>
      </c>
      <c r="F13" t="inlineStr">
        <is>
          <t>STOCKHOLMS LÄN</t>
        </is>
      </c>
      <c r="G13" t="inlineStr">
        <is>
          <t>NYKVARN</t>
        </is>
      </c>
      <c r="I13" t="n">
        <v>4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3</v>
      </c>
      <c r="U13" t="n">
        <v>3</v>
      </c>
      <c r="V13" s="2" t="inlineStr">
        <is>
          <t>Igelkott</t>
        </is>
      </c>
      <c r="W13">
        <f>HYPERLINK("https://klasma.github.io/Logging_0140/artfynd/A 11388-2024 artfynd.xlsx", "A 11388-2024")</f>
        <v/>
      </c>
      <c r="X13">
        <f>HYPERLINK("https://klasma.github.io/Logging_0140/kartor/A 11388-2024 karta.png", "A 11388-2024")</f>
        <v/>
      </c>
      <c r="Y13">
        <f>HYPERLINK("https://klasma.github.io/Logging_0140/kartor_geotiff/A 11388-2024 georefererad karta.tif", "A 11388-2024")</f>
        <v/>
      </c>
      <c r="AA13">
        <f>HYPERLINK("https://klasma.github.io/Logging_0140/klagomål/A 11388-2024 FSC-klagomål.docx", "A 11388-2024")</f>
        <v/>
      </c>
      <c r="AB13">
        <f>HYPERLINK("https://klasma.github.io/Logging_0140/klagomålsmail/A 11388-2024 FSC-klagomål mail.docx", "A 11388-2024")</f>
        <v/>
      </c>
      <c r="AC13">
        <f>HYPERLINK("https://klasma.github.io/Logging_0140/tillsyn/A 11388-2024 tillsynsbegäran.docx", "A 11388-2024")</f>
        <v/>
      </c>
      <c r="AD13">
        <f>HYPERLINK("https://klasma.github.io/Logging_0140/tillsynsmail/A 11388-2024 tillsynsbegäran mail.docx", "A 11388-2024")</f>
        <v/>
      </c>
    </row>
    <row r="14" ht="15" customHeight="1">
      <c r="A14" t="inlineStr">
        <is>
          <t>A 24790-2026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46171</v>
      </c>
      <c r="E14" s="1" t="n">
        <v>46261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HYPERLINK("https://klasma.github.io/Logging_0140/artfynd/A 24790-2026 artfynd.xlsx", "A 24790-2026")</f>
        <v/>
      </c>
      <c r="X14">
        <f>HYPERLINK("https://klasma.github.io/Logging_0140/kartor/A 24790-2026 karta.png", "A 24790-2026")</f>
        <v/>
      </c>
      <c r="Y14">
        <f>HYPERLINK("https://klasma.github.io/Logging_0140/kartor_geotiff/A 24790-2026 georefererad karta.tif", "A 24790-2026")</f>
        <v/>
      </c>
      <c r="AA14">
        <f>HYPERLINK("https://klasma.github.io/Logging_0140/klagomål/A 24790-2026 FSC-klagomål.docx", "A 24790-2026")</f>
        <v/>
      </c>
      <c r="AB14">
        <f>HYPERLINK("https://klasma.github.io/Logging_0140/klagomålsmail/A 24790-2026 FSC-klagomål mail.docx", "A 24790-2026")</f>
        <v/>
      </c>
      <c r="AC14">
        <f>HYPERLINK("https://klasma.github.io/Logging_0140/tillsyn/A 24790-2026 tillsynsbegäran.docx", "A 24790-2026")</f>
        <v/>
      </c>
      <c r="AD14">
        <f>HYPERLINK("https://klasma.github.io/Logging_0140/tillsynsmail/A 24790-2026 tillsynsbegäran mail.docx", "A 24790-2026")</f>
        <v/>
      </c>
    </row>
    <row r="15" ht="15" customHeight="1">
      <c r="A15" t="inlineStr">
        <is>
          <t>A 25754-2023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45084</v>
      </c>
      <c r="E15" s="1" t="n">
        <v>46261</v>
      </c>
      <c r="F15" t="inlineStr">
        <is>
          <t>STOCKHOLMS LÄN</t>
        </is>
      </c>
      <c r="G15" t="inlineStr">
        <is>
          <t>NYKVARN</t>
        </is>
      </c>
      <c r="I15" t="n">
        <v>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Trana</t>
        </is>
      </c>
      <c r="W15">
        <f>HYPERLINK("https://klasma.github.io/Logging_0140/artfynd/A 25754-2023 artfynd.xlsx", "A 25754-2023")</f>
        <v/>
      </c>
      <c r="X15">
        <f>HYPERLINK("https://klasma.github.io/Logging_0140/kartor/A 25754-2023 karta.png", "A 25754-2023")</f>
        <v/>
      </c>
      <c r="Y15">
        <f>HYPERLINK("https://klasma.github.io/Logging_0140/kartor_geotiff/A 25754-2023 georefererad karta.tif", "A 25754-2023")</f>
        <v/>
      </c>
      <c r="AA15">
        <f>HYPERLINK("https://klasma.github.io/Logging_0140/klagomål/A 25754-2023 FSC-klagomål.docx", "A 25754-2023")</f>
        <v/>
      </c>
      <c r="AB15">
        <f>HYPERLINK("https://klasma.github.io/Logging_0140/klagomålsmail/A 25754-2023 FSC-klagomål mail.docx", "A 25754-2023")</f>
        <v/>
      </c>
      <c r="AC15">
        <f>HYPERLINK("https://klasma.github.io/Logging_0140/tillsyn/A 25754-2023 tillsynsbegäran.docx", "A 25754-2023")</f>
        <v/>
      </c>
      <c r="AD15">
        <f>HYPERLINK("https://klasma.github.io/Logging_0140/tillsynsmail/A 25754-2023 tillsynsbegäran mail.docx", "A 25754-2023")</f>
        <v/>
      </c>
      <c r="AE15">
        <f>HYPERLINK("https://klasma.github.io/Logging_0140/fåglar/A 25754-2023 prioriterade fågelarter.docx", "A 25754-2023")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46261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46261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46261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46261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46261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46261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46261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46261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46261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46261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46261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73212-2021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44550</v>
      </c>
      <c r="E28" s="1" t="n">
        <v>46261</v>
      </c>
      <c r="F28" t="inlineStr">
        <is>
          <t>STOCKHOLMS LÄN</t>
        </is>
      </c>
      <c r="G28" t="inlineStr">
        <is>
          <t>NYKVARN</t>
        </is>
      </c>
      <c r="H28" t="inlineStr">
        <is>
          <t>Allmännings- och besparingsskogar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46261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46261</v>
      </c>
      <c r="F30" t="inlineStr">
        <is>
          <t>STOCKHOLMS LÄN</t>
        </is>
      </c>
      <c r="G30" t="inlineStr">
        <is>
          <t>NYKVARN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46261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46261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46261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50031-2023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45215</v>
      </c>
      <c r="E34" s="1" t="n">
        <v>46261</v>
      </c>
      <c r="F34" t="inlineStr">
        <is>
          <t>STOCKHOLMS LÄN</t>
        </is>
      </c>
      <c r="G34" t="inlineStr">
        <is>
          <t>NYKVARN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43230-2022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44834</v>
      </c>
      <c r="E35" s="1" t="n">
        <v>46261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19487-2023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45050</v>
      </c>
      <c r="E36" s="1" t="n">
        <v>46261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46261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46261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8096-2023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46261</v>
      </c>
      <c r="F39" t="inlineStr">
        <is>
          <t>STOCKHOLMS LÄN</t>
        </is>
      </c>
      <c r="G39" t="inlineStr">
        <is>
          <t>NYKVARN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46261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46261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46261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71540-2021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44540</v>
      </c>
      <c r="E43" s="1" t="n">
        <v>46261</v>
      </c>
      <c r="F43" t="inlineStr">
        <is>
          <t>STOCKHOLMS LÄN</t>
        </is>
      </c>
      <c r="G43" t="inlineStr">
        <is>
          <t>NYKVARN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46261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19217-2026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46261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46261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45989</v>
      </c>
      <c r="E47" s="1" t="n">
        <v>46261</v>
      </c>
      <c r="F47" t="inlineStr">
        <is>
          <t>STOCKHOLMS LÄN</t>
        </is>
      </c>
      <c r="G47" t="inlineStr">
        <is>
          <t>NYKVARN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46261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46261</v>
      </c>
      <c r="F49" t="inlineStr">
        <is>
          <t>STOCKHOLMS LÄN</t>
        </is>
      </c>
      <c r="G49" t="inlineStr">
        <is>
          <t>NYKVARN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45235</v>
      </c>
      <c r="E50" s="1" t="n">
        <v>46261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51813-2024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46261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45044</v>
      </c>
      <c r="E52" s="1" t="n">
        <v>46261</v>
      </c>
      <c r="F52" t="inlineStr">
        <is>
          <t>STOCKHOLMS LÄN</t>
        </is>
      </c>
      <c r="G52" t="inlineStr">
        <is>
          <t>NYKVARN</t>
        </is>
      </c>
      <c r="H52" t="inlineStr">
        <is>
          <t>Kyrkan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44713</v>
      </c>
      <c r="E53" s="1" t="n">
        <v>46261</v>
      </c>
      <c r="F53" t="inlineStr">
        <is>
          <t>STOCKHOLMS LÄN</t>
        </is>
      </c>
      <c r="G53" t="inlineStr">
        <is>
          <t>NYKVARN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24796-2026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46261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36986-2025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45874</v>
      </c>
      <c r="E55" s="1" t="n">
        <v>46261</v>
      </c>
      <c r="F55" t="inlineStr">
        <is>
          <t>STOCKHOLMS LÄN</t>
        </is>
      </c>
      <c r="G55" t="inlineStr">
        <is>
          <t>NYKVARN</t>
        </is>
      </c>
      <c r="I55" t="n">
        <v>10.6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46261</v>
      </c>
      <c r="F56" t="inlineStr">
        <is>
          <t>STOCKHOLMS LÄN</t>
        </is>
      </c>
      <c r="G56" t="inlineStr">
        <is>
          <t>NYKVARN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46227</v>
      </c>
      <c r="E57" s="1" t="n">
        <v>46261</v>
      </c>
      <c r="F57" t="inlineStr">
        <is>
          <t>STOCKHOLMS LÄN</t>
        </is>
      </c>
      <c r="G57" t="inlineStr">
        <is>
          <t>NYKVARN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46261</v>
      </c>
      <c r="F58" t="inlineStr">
        <is>
          <t>STOCKHOLMS LÄN</t>
        </is>
      </c>
      <c r="G58" t="inlineStr">
        <is>
          <t>NYKVARN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51787-2021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46261</v>
      </c>
      <c r="F59" t="inlineStr">
        <is>
          <t>STOCKHOLMS LÄN</t>
        </is>
      </c>
      <c r="G59" t="inlineStr">
        <is>
          <t>NYKVARN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44947-2021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44438</v>
      </c>
      <c r="E60" s="1" t="n">
        <v>46261</v>
      </c>
      <c r="F60" t="inlineStr">
        <is>
          <t>STOCKHOLMS LÄN</t>
        </is>
      </c>
      <c r="G60" t="inlineStr">
        <is>
          <t>NYKVARN</t>
        </is>
      </c>
      <c r="H60" t="inlineStr">
        <is>
          <t>Allmännings- och besparingsskogar</t>
        </is>
      </c>
      <c r="I60" t="n">
        <v>11.3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54583-2023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46261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46261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32555-2023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45121</v>
      </c>
      <c r="E63" s="1" t="n">
        <v>46261</v>
      </c>
      <c r="F63" t="inlineStr">
        <is>
          <t>STOCKHOLMS LÄN</t>
        </is>
      </c>
      <c r="G63" t="inlineStr">
        <is>
          <t>NYKVARN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46254</v>
      </c>
      <c r="E64" s="1" t="n">
        <v>46261</v>
      </c>
      <c r="F64" t="inlineStr">
        <is>
          <t>STOCKHOLMS LÄN</t>
        </is>
      </c>
      <c r="G64" t="inlineStr">
        <is>
          <t>NYKVARN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63592-2023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45275</v>
      </c>
      <c r="E65" s="1" t="n">
        <v>46261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17328-2025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45756</v>
      </c>
      <c r="E66" s="1" t="n">
        <v>46261</v>
      </c>
      <c r="F66" t="inlineStr">
        <is>
          <t>STOCKHOLMS LÄN</t>
        </is>
      </c>
      <c r="G66" t="inlineStr">
        <is>
          <t>NYKVARN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63400-2023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45274</v>
      </c>
      <c r="E67" s="1" t="n">
        <v>46261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45173</v>
      </c>
      <c r="E68" s="1" t="n">
        <v>46261</v>
      </c>
      <c r="F68" t="inlineStr">
        <is>
          <t>STOCKHOLMS LÄN</t>
        </is>
      </c>
      <c r="G68" t="inlineStr">
        <is>
          <t>NYKVARN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19903-2023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46261</v>
      </c>
      <c r="F69" t="inlineStr">
        <is>
          <t>STOCKHOLMS LÄN</t>
        </is>
      </c>
      <c r="G69" t="inlineStr">
        <is>
          <t>NYKVARN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46261</v>
      </c>
      <c r="F70" t="inlineStr">
        <is>
          <t>STOCKHOLMS LÄN</t>
        </is>
      </c>
      <c r="G70" t="inlineStr">
        <is>
          <t>NYKVARN</t>
        </is>
      </c>
      <c r="H70" t="inlineStr">
        <is>
          <t>Kommuner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46261</v>
      </c>
      <c r="F71" t="inlineStr">
        <is>
          <t>STOCKHOLMS LÄN</t>
        </is>
      </c>
      <c r="G71" t="inlineStr">
        <is>
          <t>NYKVARN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44730</v>
      </c>
      <c r="E72" s="1" t="n">
        <v>46261</v>
      </c>
      <c r="F72" t="inlineStr">
        <is>
          <t>STOCKHOLMS LÄN</t>
        </is>
      </c>
      <c r="G72" t="inlineStr">
        <is>
          <t>NYKVARN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46261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46261</v>
      </c>
      <c r="F74" t="inlineStr">
        <is>
          <t>STOCKHOLMS LÄN</t>
        </is>
      </c>
      <c r="G74" t="inlineStr">
        <is>
          <t>NYKVARN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46261</v>
      </c>
      <c r="F75" t="inlineStr">
        <is>
          <t>STOCKHOLMS LÄN</t>
        </is>
      </c>
      <c r="G75" t="inlineStr">
        <is>
          <t>NYKVARN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46261</v>
      </c>
      <c r="F76" t="inlineStr">
        <is>
          <t>STOCKHOLMS LÄN</t>
        </is>
      </c>
      <c r="G76" t="inlineStr">
        <is>
          <t>NYKVARN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44973</v>
      </c>
      <c r="E77" s="1" t="n">
        <v>46261</v>
      </c>
      <c r="F77" t="inlineStr">
        <is>
          <t>STOCKHOLMS LÄN</t>
        </is>
      </c>
      <c r="G77" t="inlineStr">
        <is>
          <t>NYKVARN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44841</v>
      </c>
      <c r="E78" s="1" t="n">
        <v>46261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46261</v>
      </c>
      <c r="F79" t="inlineStr">
        <is>
          <t>STOCKHOLMS LÄN</t>
        </is>
      </c>
      <c r="G79" t="inlineStr">
        <is>
          <t>NYKVARN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46261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46261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46261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46261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46261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2026-08-27T01:49:44Z</dcterms:created>
  <dcterms:modified xmlns:dcterms="http://purl.org/dc/terms/" xmlns:xsi="http://www.w3.org/2001/XMLSchema-instance" xsi:type="dcterms:W3CDTF">2026-08-27T01:49:44Z</dcterms:modified>
</cp:coreProperties>
</file>