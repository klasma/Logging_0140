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46279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46279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46279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46279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46279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46279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46279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46279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39539-2023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45167</v>
      </c>
      <c r="E10" s="1" t="n">
        <v>46279</v>
      </c>
      <c r="F10" t="inlineStr">
        <is>
          <t>STOCKHOLMS LÄN</t>
        </is>
      </c>
      <c r="G10" t="inlineStr">
        <is>
          <t>NYKVARN</t>
        </is>
      </c>
      <c r="I10" t="n">
        <v>2.3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39539-2023 artfynd.xlsx", "A 39539-2023")</f>
        <v/>
      </c>
      <c r="X10">
        <f>HYPERLINK("https://klasma.github.io/Logging_0140/kartor/A 39539-2023 karta.png", "A 39539-2023")</f>
        <v/>
      </c>
      <c r="Y10">
        <f>HYPERLINK("https://klasma.github.io/Logging_0140/kartor_geotiff/A 39539-2023 georefererad karta.tif", "A 39539-2023")</f>
        <v/>
      </c>
      <c r="AA10">
        <f>HYPERLINK("https://klasma.github.io/Logging_0140/klagomål/A 39539-2023 FSC-klagomål.docx", "A 39539-2023")</f>
        <v/>
      </c>
      <c r="AB10">
        <f>HYPERLINK("https://klasma.github.io/Logging_0140/klagomålsmail/A 39539-2023 FSC-klagomål mail.docx", "A 39539-2023")</f>
        <v/>
      </c>
      <c r="AC10">
        <f>HYPERLINK("https://klasma.github.io/Logging_0140/tillsyn/A 39539-2023 tillsynsbegäran.docx", "A 39539-2023")</f>
        <v/>
      </c>
      <c r="AD10">
        <f>HYPERLINK("https://klasma.github.io/Logging_0140/tillsynsmail/A 39539-2023 tillsynsbegäran mail.docx", "A 39539-2023")</f>
        <v/>
      </c>
    </row>
    <row r="11" ht="15" customHeight="1">
      <c r="A11" t="inlineStr">
        <is>
          <t>A 11393-2022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44630</v>
      </c>
      <c r="E11" s="1" t="n">
        <v>46279</v>
      </c>
      <c r="F11" t="inlineStr">
        <is>
          <t>STOCKHOLMS LÄN</t>
        </is>
      </c>
      <c r="G11" t="inlineStr">
        <is>
          <t>NYKVARN</t>
        </is>
      </c>
      <c r="I11" t="n">
        <v>3.8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Björksplintborre</t>
        </is>
      </c>
      <c r="W11">
        <f>HYPERLINK("https://klasma.github.io/Logging_0140/artfynd/A 11393-2022 artfynd.xlsx", "A 11393-2022")</f>
        <v/>
      </c>
      <c r="X11">
        <f>HYPERLINK("https://klasma.github.io/Logging_0140/kartor/A 11393-2022 karta.png", "A 11393-2022")</f>
        <v/>
      </c>
      <c r="Y11">
        <f>HYPERLINK("https://klasma.github.io/Logging_0140/kartor_geotiff/A 11393-2022 georefererad karta.tif", "A 11393-2022")</f>
        <v/>
      </c>
      <c r="AA11">
        <f>HYPERLINK("https://klasma.github.io/Logging_0140/klagomål/A 11393-2022 FSC-klagomål.docx", "A 11393-2022")</f>
        <v/>
      </c>
      <c r="AB11">
        <f>HYPERLINK("https://klasma.github.io/Logging_0140/klagomålsmail/A 11393-2022 FSC-klagomål mail.docx", "A 11393-2022")</f>
        <v/>
      </c>
      <c r="AC11">
        <f>HYPERLINK("https://klasma.github.io/Logging_0140/tillsyn/A 11393-2022 tillsynsbegäran.docx", "A 11393-2022")</f>
        <v/>
      </c>
      <c r="AD11">
        <f>HYPERLINK("https://klasma.github.io/Logging_0140/tillsynsmail/A 11393-2022 tillsynsbegäran mail.docx", "A 11393-2022")</f>
        <v/>
      </c>
    </row>
    <row r="12" ht="15" customHeight="1">
      <c r="A12" t="inlineStr">
        <is>
          <t>A 11388-2024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45372</v>
      </c>
      <c r="E12" s="1" t="n">
        <v>46279</v>
      </c>
      <c r="F12" t="inlineStr">
        <is>
          <t>STOCKHOLMS LÄN</t>
        </is>
      </c>
      <c r="G12" t="inlineStr">
        <is>
          <t>NYKVARN</t>
        </is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3</v>
      </c>
      <c r="U12" t="n">
        <v>3</v>
      </c>
      <c r="V12" s="2" t="inlineStr">
        <is>
          <t>Igelkott</t>
        </is>
      </c>
      <c r="W12">
        <f>HYPERLINK("https://klasma.github.io/Logging_0140/artfynd/A 11388-2024 artfynd.xlsx", "A 11388-2024")</f>
        <v/>
      </c>
      <c r="X12">
        <f>HYPERLINK("https://klasma.github.io/Logging_0140/kartor/A 11388-2024 karta.png", "A 11388-2024")</f>
        <v/>
      </c>
      <c r="Y12">
        <f>HYPERLINK("https://klasma.github.io/Logging_0140/kartor_geotiff/A 11388-2024 georefererad karta.tif", "A 11388-2024")</f>
        <v/>
      </c>
      <c r="AA12">
        <f>HYPERLINK("https://klasma.github.io/Logging_0140/klagomål/A 11388-2024 FSC-klagomål.docx", "A 11388-2024")</f>
        <v/>
      </c>
      <c r="AB12">
        <f>HYPERLINK("https://klasma.github.io/Logging_0140/klagomålsmail/A 11388-2024 FSC-klagomål mail.docx", "A 11388-2024")</f>
        <v/>
      </c>
      <c r="AC12">
        <f>HYPERLINK("https://klasma.github.io/Logging_0140/tillsyn/A 11388-2024 tillsynsbegäran.docx", "A 11388-2024")</f>
        <v/>
      </c>
      <c r="AD12">
        <f>HYPERLINK("https://klasma.github.io/Logging_0140/tillsynsmail/A 11388-2024 tillsynsbegäran mail.docx", "A 11388-2024")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46279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Skogsödla</t>
        </is>
      </c>
      <c r="W13">
        <f>HYPERLINK("https://klasma.github.io/Logging_0140/artfynd/A 15912-2026 artfynd.xlsx", "A 15912-2026")</f>
        <v/>
      </c>
      <c r="X13">
        <f>HYPERLINK("https://klasma.github.io/Logging_0140/kartor/A 15912-2026 karta.png", "A 15912-2026")</f>
        <v/>
      </c>
      <c r="Y13">
        <f>HYPERLINK("https://klasma.github.io/Logging_0140/kartor_geotiff/A 15912-2026 georefererad karta.tif", "A 15912-2026")</f>
        <v/>
      </c>
      <c r="AA13">
        <f>HYPERLINK("https://klasma.github.io/Logging_0140/klagomål/A 15912-2026 FSC-klagomål.docx", "A 15912-2026")</f>
        <v/>
      </c>
      <c r="AB13">
        <f>HYPERLINK("https://klasma.github.io/Logging_0140/klagomålsmail/A 15912-2026 FSC-klagomål mail.docx", "A 15912-2026")</f>
        <v/>
      </c>
      <c r="AC13">
        <f>HYPERLINK("https://klasma.github.io/Logging_0140/tillsyn/A 15912-2026 tillsynsbegäran.docx", "A 15912-2026")</f>
        <v/>
      </c>
      <c r="AD13">
        <f>HYPERLINK("https://klasma.github.io/Logging_0140/tillsynsmail/A 15912-2026 tillsynsbegäran mail.docx", "A 15912-2026")</f>
        <v/>
      </c>
    </row>
    <row r="14" ht="15" customHeight="1">
      <c r="A14" t="inlineStr">
        <is>
          <t>A 17009-2026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46279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8.699999999999999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Mattlummer</t>
        </is>
      </c>
      <c r="W14">
        <f>HYPERLINK("https://klasma.github.io/Logging_0140/artfynd/A 17009-2026 artfynd.xlsx", "A 17009-2026")</f>
        <v/>
      </c>
      <c r="X14">
        <f>HYPERLINK("https://klasma.github.io/Logging_0140/kartor/A 17009-2026 karta.png", "A 17009-2026")</f>
        <v/>
      </c>
      <c r="Y14">
        <f>HYPERLINK("https://klasma.github.io/Logging_0140/kartor_geotiff/A 17009-2026 georefererad karta.tif", "A 17009-2026")</f>
        <v/>
      </c>
      <c r="AA14">
        <f>HYPERLINK("https://klasma.github.io/Logging_0140/klagomål/A 17009-2026 FSC-klagomål.docx", "A 17009-2026")</f>
        <v/>
      </c>
      <c r="AB14">
        <f>HYPERLINK("https://klasma.github.io/Logging_0140/klagomålsmail/A 17009-2026 FSC-klagomål mail.docx", "A 17009-2026")</f>
        <v/>
      </c>
      <c r="AC14">
        <f>HYPERLINK("https://klasma.github.io/Logging_0140/tillsyn/A 17009-2026 tillsynsbegäran.docx", "A 17009-2026")</f>
        <v/>
      </c>
      <c r="AD14">
        <f>HYPERLINK("https://klasma.github.io/Logging_0140/tillsynsmail/A 17009-2026 tillsynsbegäran mail.docx", "A 17009-2026")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46279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25754-2023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45084</v>
      </c>
      <c r="E16" s="1" t="n">
        <v>46279</v>
      </c>
      <c r="F16" t="inlineStr">
        <is>
          <t>STOCKHOLMS LÄN</t>
        </is>
      </c>
      <c r="G16" t="inlineStr">
        <is>
          <t>NYKVARN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Trana</t>
        </is>
      </c>
      <c r="W16">
        <f>HYPERLINK("https://klasma.github.io/Logging_0140/artfynd/A 25754-2023 artfynd.xlsx", "A 25754-2023")</f>
        <v/>
      </c>
      <c r="X16">
        <f>HYPERLINK("https://klasma.github.io/Logging_0140/kartor/A 25754-2023 karta.png", "A 25754-2023")</f>
        <v/>
      </c>
      <c r="Y16">
        <f>HYPERLINK("https://klasma.github.io/Logging_0140/kartor_geotiff/A 25754-2023 georefererad karta.tif", "A 25754-2023")</f>
        <v/>
      </c>
      <c r="AA16">
        <f>HYPERLINK("https://klasma.github.io/Logging_0140/klagomål/A 25754-2023 FSC-klagomål.docx", "A 25754-2023")</f>
        <v/>
      </c>
      <c r="AB16">
        <f>HYPERLINK("https://klasma.github.io/Logging_0140/klagomålsmail/A 25754-2023 FSC-klagomål mail.docx", "A 25754-2023")</f>
        <v/>
      </c>
      <c r="AC16">
        <f>HYPERLINK("https://klasma.github.io/Logging_0140/tillsyn/A 25754-2023 tillsynsbegäran.docx", "A 25754-2023")</f>
        <v/>
      </c>
      <c r="AD16">
        <f>HYPERLINK("https://klasma.github.io/Logging_0140/tillsynsmail/A 25754-2023 tillsynsbegäran mail.docx", "A 25754-2023")</f>
        <v/>
      </c>
      <c r="AE16">
        <f>HYPERLINK("https://klasma.github.io/Logging_0140/fåglar/A 25754-2023 prioriterade fågelarter.docx", "A 25754-2023")</f>
        <v/>
      </c>
    </row>
    <row r="17" ht="15" customHeight="1">
      <c r="A17" t="inlineStr">
        <is>
          <t>A 6876-2022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46279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5.1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HYPERLINK("https://klasma.github.io/Logging_0140/artfynd/A 6876-2022 artfynd.xlsx", "A 6876-2022")</f>
        <v/>
      </c>
      <c r="X17">
        <f>HYPERLINK("https://klasma.github.io/Logging_0140/kartor/A 6876-2022 karta.png", "A 6876-2022")</f>
        <v/>
      </c>
      <c r="Y17">
        <f>HYPERLINK("https://klasma.github.io/Logging_0140/kartor_geotiff/A 6876-2022 georefererad karta.tif", "A 6876-2022")</f>
        <v/>
      </c>
      <c r="AA17">
        <f>HYPERLINK("https://klasma.github.io/Logging_0140/klagomål/A 6876-2022 FSC-klagomål.docx", "A 6876-2022")</f>
        <v/>
      </c>
      <c r="AB17">
        <f>HYPERLINK("https://klasma.github.io/Logging_0140/klagomålsmail/A 6876-2022 FSC-klagomål mail.docx", "A 6876-2022")</f>
        <v/>
      </c>
      <c r="AC17">
        <f>HYPERLINK("https://klasma.github.io/Logging_0140/tillsyn/A 6876-2022 tillsynsbegäran.docx", "A 6876-2022")</f>
        <v/>
      </c>
      <c r="AD17">
        <f>HYPERLINK("https://klasma.github.io/Logging_0140/tillsynsmail/A 6876-2022 tillsynsbegäran mail.docx", "A 6876-2022")</f>
        <v/>
      </c>
    </row>
    <row r="18" ht="15" customHeight="1">
      <c r="A18" t="inlineStr">
        <is>
          <t>A 24790-2026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46279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Kopparödla</t>
        </is>
      </c>
      <c r="W18">
        <f>HYPERLINK("https://klasma.github.io/Logging_0140/artfynd/A 24790-2026 artfynd.xlsx", "A 24790-2026")</f>
        <v/>
      </c>
      <c r="X18">
        <f>HYPERLINK("https://klasma.github.io/Logging_0140/kartor/A 24790-2026 karta.png", "A 24790-2026")</f>
        <v/>
      </c>
      <c r="Y18">
        <f>HYPERLINK("https://klasma.github.io/Logging_0140/kartor_geotiff/A 24790-2026 georefererad karta.tif", "A 24790-2026")</f>
        <v/>
      </c>
      <c r="AA18">
        <f>HYPERLINK("https://klasma.github.io/Logging_0140/klagomål/A 24790-2026 FSC-klagomål.docx", "A 24790-2026")</f>
        <v/>
      </c>
      <c r="AB18">
        <f>HYPERLINK("https://klasma.github.io/Logging_0140/klagomålsmail/A 24790-2026 FSC-klagomål mail.docx", "A 24790-2026")</f>
        <v/>
      </c>
      <c r="AC18">
        <f>HYPERLINK("https://klasma.github.io/Logging_0140/tillsyn/A 24790-2026 tillsynsbegäran.docx", "A 24790-2026")</f>
        <v/>
      </c>
      <c r="AD18">
        <f>HYPERLINK("https://klasma.github.io/Logging_0140/tillsynsmail/A 24790-2026 tillsynsbegäran mail.docx", "A 24790-2026")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46279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37597-2024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46279</v>
      </c>
      <c r="F20" t="inlineStr">
        <is>
          <t>STOCKHOLMS LÄN</t>
        </is>
      </c>
      <c r="G20" t="inlineStr">
        <is>
          <t>NYKVARN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HYPERLINK("https://klasma.github.io/Logging_0140/artfynd/A 37597-2024 artfynd.xlsx", "A 37597-2024")</f>
        <v/>
      </c>
      <c r="X20">
        <f>HYPERLINK("https://klasma.github.io/Logging_0140/kartor/A 37597-2024 karta.png", "A 37597-2024")</f>
        <v/>
      </c>
      <c r="Y20">
        <f>HYPERLINK("https://klasma.github.io/Logging_0140/kartor_geotiff/A 37597-2024 georefererad karta.tif", "A 37597-2024")</f>
        <v/>
      </c>
      <c r="AA20">
        <f>HYPERLINK("https://klasma.github.io/Logging_0140/klagomål/A 37597-2024 FSC-klagomål.docx", "A 37597-2024")</f>
        <v/>
      </c>
      <c r="AB20">
        <f>HYPERLINK("https://klasma.github.io/Logging_0140/klagomålsmail/A 37597-2024 FSC-klagomål mail.docx", "A 37597-2024")</f>
        <v/>
      </c>
      <c r="AC20">
        <f>HYPERLINK("https://klasma.github.io/Logging_0140/tillsyn/A 37597-2024 tillsynsbegäran.docx", "A 37597-2024")</f>
        <v/>
      </c>
      <c r="AD20">
        <f>HYPERLINK("https://klasma.github.io/Logging_0140/tillsynsmail/A 37597-2024 tillsynsbegäran mail.docx", "A 37597-2024")</f>
        <v/>
      </c>
      <c r="AE20">
        <f>HYPERLINK("https://klasma.github.io/Logging_0140/fåglar/A 37597-2024 prioriterade fågelarter.docx", "A 37597-2024")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46279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46279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46279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46279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46279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46279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46279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46279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46279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46279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46279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46279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46279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46279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46279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45215</v>
      </c>
      <c r="E36" s="1" t="n">
        <v>46279</v>
      </c>
      <c r="F36" t="inlineStr">
        <is>
          <t>STOCKHOLMS LÄN</t>
        </is>
      </c>
      <c r="G36" t="inlineStr">
        <is>
          <t>NYKVARN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19487-2023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45050</v>
      </c>
      <c r="E37" s="1" t="n">
        <v>46279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44834</v>
      </c>
      <c r="E38" s="1" t="n">
        <v>46279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52963-2022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46279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8096-2023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46279</v>
      </c>
      <c r="F40" t="inlineStr">
        <is>
          <t>STOCKHOLMS LÄN</t>
        </is>
      </c>
      <c r="G40" t="inlineStr">
        <is>
          <t>NYKVARN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45169</v>
      </c>
      <c r="E41" s="1" t="n">
        <v>46279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46279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71540-2021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44540</v>
      </c>
      <c r="E43" s="1" t="n">
        <v>46279</v>
      </c>
      <c r="F43" t="inlineStr">
        <is>
          <t>STOCKHOLMS LÄN</t>
        </is>
      </c>
      <c r="G43" t="inlineStr">
        <is>
          <t>NYKVARN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46279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46279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46279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46279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46279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51813-2024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46279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45044</v>
      </c>
      <c r="E50" s="1" t="n">
        <v>46279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22529-2022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44713</v>
      </c>
      <c r="E51" s="1" t="n">
        <v>46279</v>
      </c>
      <c r="F51" t="inlineStr">
        <is>
          <t>STOCKHOLMS LÄN</t>
        </is>
      </c>
      <c r="G51" t="inlineStr">
        <is>
          <t>NYKVARN</t>
        </is>
      </c>
      <c r="H51" t="inlineStr">
        <is>
          <t>Allmännings- och besparingsskogar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51787-2021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46279</v>
      </c>
      <c r="F52" t="inlineStr">
        <is>
          <t>STOCKHOLMS LÄN</t>
        </is>
      </c>
      <c r="G52" t="inlineStr">
        <is>
          <t>NYKVARN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45989</v>
      </c>
      <c r="E53" s="1" t="n">
        <v>46279</v>
      </c>
      <c r="F53" t="inlineStr">
        <is>
          <t>STOCKHOLMS LÄN</t>
        </is>
      </c>
      <c r="G53" t="inlineStr">
        <is>
          <t>NYKVARN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19217-2026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46279</v>
      </c>
      <c r="F54" t="inlineStr">
        <is>
          <t>STOCKHOLMS LÄN</t>
        </is>
      </c>
      <c r="G54" t="inlineStr">
        <is>
          <t>NYKVARN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18780-2026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46279</v>
      </c>
      <c r="F55" t="inlineStr">
        <is>
          <t>STOCKHOLMS LÄN</t>
        </is>
      </c>
      <c r="G55" t="inlineStr">
        <is>
          <t>NYKVARN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46279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8.4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63586-2023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45275</v>
      </c>
      <c r="E57" s="1" t="n">
        <v>46279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32555-2023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45121</v>
      </c>
      <c r="E58" s="1" t="n">
        <v>46279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63592-2023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46279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46279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24796-2026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46171</v>
      </c>
      <c r="E61" s="1" t="n">
        <v>46279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46279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46279</v>
      </c>
      <c r="F63" t="inlineStr">
        <is>
          <t>STOCKHOLMS LÄN</t>
        </is>
      </c>
      <c r="G63" t="inlineStr">
        <is>
          <t>NYKVARN</t>
        </is>
      </c>
      <c r="I63" t="n">
        <v>10.6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46279</v>
      </c>
      <c r="F64" t="inlineStr">
        <is>
          <t>STOCKHOLMS LÄN</t>
        </is>
      </c>
      <c r="G64" t="inlineStr">
        <is>
          <t>NYKVARN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46279</v>
      </c>
      <c r="F65" t="inlineStr">
        <is>
          <t>STOCKHOLMS LÄN</t>
        </is>
      </c>
      <c r="G65" t="inlineStr">
        <is>
          <t>NYKVARN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46279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46279</v>
      </c>
      <c r="F67" t="inlineStr">
        <is>
          <t>STOCKHOLMS LÄN</t>
        </is>
      </c>
      <c r="G67" t="inlineStr">
        <is>
          <t>NYKVARN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44730</v>
      </c>
      <c r="E68" s="1" t="n">
        <v>46279</v>
      </c>
      <c r="F68" t="inlineStr">
        <is>
          <t>STOCKHOLMS LÄN</t>
        </is>
      </c>
      <c r="G68" t="inlineStr">
        <is>
          <t>NYKVARN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46279</v>
      </c>
      <c r="F69" t="inlineStr">
        <is>
          <t>STOCKHOLMS LÄN</t>
        </is>
      </c>
      <c r="G69" t="inlineStr">
        <is>
          <t>NYKVARN</t>
        </is>
      </c>
      <c r="H69" t="inlineStr">
        <is>
          <t>Kommuner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46279</v>
      </c>
      <c r="F70" t="inlineStr">
        <is>
          <t>STOCKHOLMS LÄN</t>
        </is>
      </c>
      <c r="G70" t="inlineStr">
        <is>
          <t>NYKVARN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46279</v>
      </c>
      <c r="F71" t="inlineStr">
        <is>
          <t>STOCKHOLMS LÄN</t>
        </is>
      </c>
      <c r="G71" t="inlineStr">
        <is>
          <t>NYKVARN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34328-2026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46254</v>
      </c>
      <c r="E72" s="1" t="n">
        <v>46279</v>
      </c>
      <c r="F72" t="inlineStr">
        <is>
          <t>STOCKHOLMS LÄN</t>
        </is>
      </c>
      <c r="G72" t="inlineStr">
        <is>
          <t>NYKVARN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45309</v>
      </c>
      <c r="E73" s="1" t="n">
        <v>46279</v>
      </c>
      <c r="F73" t="inlineStr">
        <is>
          <t>STOCKHOLMS LÄN</t>
        </is>
      </c>
      <c r="G73" t="inlineStr">
        <is>
          <t>NYKVARN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46279</v>
      </c>
      <c r="F74" t="inlineStr">
        <is>
          <t>STOCKHOLMS LÄN</t>
        </is>
      </c>
      <c r="G74" t="inlineStr">
        <is>
          <t>NYKVARN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44841</v>
      </c>
      <c r="E75" s="1" t="n">
        <v>46279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46279</v>
      </c>
      <c r="F76" t="inlineStr">
        <is>
          <t>STOCKHOLMS LÄN</t>
        </is>
      </c>
      <c r="G76" t="inlineStr">
        <is>
          <t>NYKVARN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44630</v>
      </c>
      <c r="E77" s="1" t="n">
        <v>46279</v>
      </c>
      <c r="F77" t="inlineStr">
        <is>
          <t>STOCKHOLMS LÄN</t>
        </is>
      </c>
      <c r="G77" t="inlineStr">
        <is>
          <t>NYKVARN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46227</v>
      </c>
      <c r="E78" s="1" t="n">
        <v>46279</v>
      </c>
      <c r="F78" t="inlineStr">
        <is>
          <t>STOCKHOLMS LÄN</t>
        </is>
      </c>
      <c r="G78" t="inlineStr">
        <is>
          <t>NYKVARN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46279</v>
      </c>
      <c r="F79" t="inlineStr">
        <is>
          <t>STOCKHOLMS LÄN</t>
        </is>
      </c>
      <c r="G79" t="inlineStr">
        <is>
          <t>NYKVARN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46279</v>
      </c>
      <c r="F80" t="inlineStr">
        <is>
          <t>STOCKHOLMS LÄN</t>
        </is>
      </c>
      <c r="G80" t="inlineStr">
        <is>
          <t>NYKVARN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37244-2026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46274</v>
      </c>
      <c r="E81" s="1" t="n">
        <v>46279</v>
      </c>
      <c r="F81" t="inlineStr">
        <is>
          <t>STOCKHOLMS LÄN</t>
        </is>
      </c>
      <c r="G81" t="inlineStr">
        <is>
          <t>NYKVARN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46279</v>
      </c>
      <c r="F82" t="inlineStr">
        <is>
          <t>STOCKHOLMS LÄN</t>
        </is>
      </c>
      <c r="G82" t="inlineStr">
        <is>
          <t>NYKVARN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46279</v>
      </c>
      <c r="F83" t="inlineStr">
        <is>
          <t>STOCKHOLMS LÄN</t>
        </is>
      </c>
      <c r="G83" t="inlineStr">
        <is>
          <t>NYKVARN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46279</v>
      </c>
      <c r="F84" t="inlineStr">
        <is>
          <t>STOCKHOLMS LÄN</t>
        </is>
      </c>
      <c r="G84" t="inlineStr">
        <is>
          <t>NYKVARN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46273</v>
      </c>
      <c r="E85" s="1" t="n">
        <v>46279</v>
      </c>
      <c r="F85" t="inlineStr">
        <is>
          <t>STOCKHOLMS LÄN</t>
        </is>
      </c>
      <c r="G85" t="inlineStr">
        <is>
          <t>NYKVARN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37266-2026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46274</v>
      </c>
      <c r="E86" s="1" t="n">
        <v>46279</v>
      </c>
      <c r="F86" t="inlineStr">
        <is>
          <t>STOCKHOLMS LÄN</t>
        </is>
      </c>
      <c r="G86" t="inlineStr">
        <is>
          <t>NYKVARN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37305-2026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46279</v>
      </c>
      <c r="F87" t="inlineStr">
        <is>
          <t>STOCKHOLMS LÄN</t>
        </is>
      </c>
      <c r="G87" t="inlineStr">
        <is>
          <t>NYKVARN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45761</v>
      </c>
      <c r="E88" s="1" t="n">
        <v>46279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46279</v>
      </c>
      <c r="F89" t="inlineStr">
        <is>
          <t>STOCKHOLMS LÄN</t>
        </is>
      </c>
      <c r="G89" t="inlineStr">
        <is>
          <t>NYKVARN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46279</v>
      </c>
      <c r="F90" t="inlineStr">
        <is>
          <t>STOCKHOLMS LÄN</t>
        </is>
      </c>
      <c r="G90" t="inlineStr">
        <is>
          <t>NYKVARN</t>
        </is>
      </c>
      <c r="H90" t="inlineStr">
        <is>
          <t>Sveaskog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45791</v>
      </c>
      <c r="E91" s="1" t="n">
        <v>46279</v>
      </c>
      <c r="F91" t="inlineStr">
        <is>
          <t>STOCKHOLMS LÄN</t>
        </is>
      </c>
      <c r="G91" t="inlineStr">
        <is>
          <t>NYKVARN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1582-2024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45427</v>
      </c>
      <c r="E92" s="1" t="n">
        <v>46279</v>
      </c>
      <c r="F92" t="inlineStr">
        <is>
          <t>STOCKHOLMS LÄN</t>
        </is>
      </c>
      <c r="G92" t="inlineStr">
        <is>
          <t>NYKVARN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710-2025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45720</v>
      </c>
      <c r="E93" s="1" t="n">
        <v>46279</v>
      </c>
      <c r="F93" t="inlineStr">
        <is>
          <t>STOCKHOLMS LÄN</t>
        </is>
      </c>
      <c r="G93" t="inlineStr">
        <is>
          <t>NYKVARN</t>
        </is>
      </c>
      <c r="H93" t="inlineStr">
        <is>
          <t>Sveaskog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2026-09-14T02:13:04Z</dcterms:created>
  <dcterms:modified xmlns:dcterms="http://purl.org/dc/terms/" xmlns:xsi="http://www.w3.org/2001/XMLSchema-instance" xsi:type="dcterms:W3CDTF">2026-09-14T02:13:04Z</dcterms:modified>
</cp:coreProperties>
</file>