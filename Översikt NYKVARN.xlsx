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46295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46295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46295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46295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46295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46295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46295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23279-2025 artfynd.xlsx", "A 23279-2025")</f>
        <v/>
      </c>
      <c r="X10">
        <f>HYPERLINK("https://klasma.github.io/Logging_0140/kartor/A 23279-2025 karta.png", "A 23279-2025")</f>
        <v/>
      </c>
      <c r="Y10">
        <f>HYPERLINK("https://klasma.github.io/Logging_0140/kartor_geotiff/A 23279-2025 georefererad karta.tif", "A 23279-2025")</f>
        <v/>
      </c>
      <c r="AA10">
        <f>HYPERLINK("https://klasma.github.io/Logging_0140/klagomål/A 23279-2025 FSC-klagomål.docx", "A 23279-2025")</f>
        <v/>
      </c>
      <c r="AB10">
        <f>HYPERLINK("https://klasma.github.io/Logging_0140/klagomålsmail/A 23279-2025 FSC-klagomål mail.docx", "A 23279-2025")</f>
        <v/>
      </c>
      <c r="AC10">
        <f>HYPERLINK("https://klasma.github.io/Logging_0140/tillsyn/A 23279-2025 tillsynsbegäran.docx", "A 23279-2025")</f>
        <v/>
      </c>
      <c r="AD10">
        <f>HYPERLINK("https://klasma.github.io/Logging_0140/tillsynsmail/A 23279-2025 tillsynsbegäran mail.docx", "A 23279-2025")</f>
        <v/>
      </c>
    </row>
    <row r="11" ht="15" customHeight="1">
      <c r="A11" t="inlineStr">
        <is>
          <t>A 39539-2023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45167</v>
      </c>
      <c r="E11" s="1" t="n">
        <v>46295</v>
      </c>
      <c r="F11" t="inlineStr">
        <is>
          <t>STOCKHOLMS LÄN</t>
        </is>
      </c>
      <c r="G11" t="inlineStr">
        <is>
          <t>NYKVARN</t>
        </is>
      </c>
      <c r="I11" t="n">
        <v>2.3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39539-2023 artfynd.xlsx", "A 39539-2023")</f>
        <v/>
      </c>
      <c r="X11">
        <f>HYPERLINK("https://klasma.github.io/Logging_0140/kartor/A 39539-2023 karta.png", "A 39539-2023")</f>
        <v/>
      </c>
      <c r="Y11">
        <f>HYPERLINK("https://klasma.github.io/Logging_0140/kartor_geotiff/A 39539-2023 georefererad karta.tif", "A 39539-2023")</f>
        <v/>
      </c>
      <c r="AA11">
        <f>HYPERLINK("https://klasma.github.io/Logging_0140/klagomål/A 39539-2023 FSC-klagomål.docx", "A 39539-2023")</f>
        <v/>
      </c>
      <c r="AB11">
        <f>HYPERLINK("https://klasma.github.io/Logging_0140/klagomålsmail/A 39539-2023 FSC-klagomål mail.docx", "A 39539-2023")</f>
        <v/>
      </c>
      <c r="AC11">
        <f>HYPERLINK("https://klasma.github.io/Logging_0140/tillsyn/A 39539-2023 tillsynsbegäran.docx", "A 39539-2023")</f>
        <v/>
      </c>
      <c r="AD11">
        <f>HYPERLINK("https://klasma.github.io/Logging_0140/tillsynsmail/A 39539-2023 tillsynsbegäran mail.docx", "A 39539-2023")</f>
        <v/>
      </c>
    </row>
    <row r="12" ht="15" customHeight="1">
      <c r="A12" t="inlineStr">
        <is>
          <t>A 11393-2022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44630</v>
      </c>
      <c r="E12" s="1" t="n">
        <v>46295</v>
      </c>
      <c r="F12" t="inlineStr">
        <is>
          <t>STOCKHOLMS LÄN</t>
        </is>
      </c>
      <c r="G12" t="inlineStr">
        <is>
          <t>NYKVARN</t>
        </is>
      </c>
      <c r="I12" t="n">
        <v>3.8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Björksplintborre</t>
        </is>
      </c>
      <c r="W12">
        <f>HYPERLINK("https://klasma.github.io/Logging_0140/artfynd/A 11393-2022 artfynd.xlsx", "A 11393-2022")</f>
        <v/>
      </c>
      <c r="X12">
        <f>HYPERLINK("https://klasma.github.io/Logging_0140/kartor/A 11393-2022 karta.png", "A 11393-2022")</f>
        <v/>
      </c>
      <c r="Y12">
        <f>HYPERLINK("https://klasma.github.io/Logging_0140/kartor_geotiff/A 11393-2022 georefererad karta.tif", "A 11393-2022")</f>
        <v/>
      </c>
      <c r="AA12">
        <f>HYPERLINK("https://klasma.github.io/Logging_0140/klagomål/A 11393-2022 FSC-klagomål.docx", "A 11393-2022")</f>
        <v/>
      </c>
      <c r="AB12">
        <f>HYPERLINK("https://klasma.github.io/Logging_0140/klagomålsmail/A 11393-2022 FSC-klagomål mail.docx", "A 11393-2022")</f>
        <v/>
      </c>
      <c r="AC12">
        <f>HYPERLINK("https://klasma.github.io/Logging_0140/tillsyn/A 11393-2022 tillsynsbegäran.docx", "A 11393-2022")</f>
        <v/>
      </c>
      <c r="AD12">
        <f>HYPERLINK("https://klasma.github.io/Logging_0140/tillsynsmail/A 11393-2022 tillsynsbegäran mail.docx", "A 11393-2022")</f>
        <v/>
      </c>
    </row>
    <row r="13" ht="15" customHeight="1">
      <c r="A13" t="inlineStr">
        <is>
          <t>A 11388-2024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45372</v>
      </c>
      <c r="E13" s="1" t="n">
        <v>46295</v>
      </c>
      <c r="F13" t="inlineStr">
        <is>
          <t>STOCKHOLMS LÄN</t>
        </is>
      </c>
      <c r="G13" t="inlineStr">
        <is>
          <t>NYKVARN</t>
        </is>
      </c>
      <c r="I13" t="n">
        <v>4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3</v>
      </c>
      <c r="U13" t="n">
        <v>3</v>
      </c>
      <c r="V13" s="2" t="inlineStr">
        <is>
          <t>Igelkott</t>
        </is>
      </c>
      <c r="W13">
        <f>HYPERLINK("https://klasma.github.io/Logging_0140/artfynd/A 11388-2024 artfynd.xlsx", "A 11388-2024")</f>
        <v/>
      </c>
      <c r="X13">
        <f>HYPERLINK("https://klasma.github.io/Logging_0140/kartor/A 11388-2024 karta.png", "A 11388-2024")</f>
        <v/>
      </c>
      <c r="Y13">
        <f>HYPERLINK("https://klasma.github.io/Logging_0140/kartor_geotiff/A 11388-2024 georefererad karta.tif", "A 11388-2024")</f>
        <v/>
      </c>
      <c r="AA13">
        <f>HYPERLINK("https://klasma.github.io/Logging_0140/klagomål/A 11388-2024 FSC-klagomål.docx", "A 11388-2024")</f>
        <v/>
      </c>
      <c r="AB13">
        <f>HYPERLINK("https://klasma.github.io/Logging_0140/klagomålsmail/A 11388-2024 FSC-klagomål mail.docx", "A 11388-2024")</f>
        <v/>
      </c>
      <c r="AC13">
        <f>HYPERLINK("https://klasma.github.io/Logging_0140/tillsyn/A 11388-2024 tillsynsbegäran.docx", "A 11388-2024")</f>
        <v/>
      </c>
      <c r="AD13">
        <f>HYPERLINK("https://klasma.github.io/Logging_0140/tillsynsmail/A 11388-2024 tillsynsbegäran mail.docx", "A 11388-2024")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46295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46295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17009-2026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46295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8.699999999999999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Mattlummer</t>
        </is>
      </c>
      <c r="W16">
        <f>HYPERLINK("https://klasma.github.io/Logging_0140/artfynd/A 17009-2026 artfynd.xlsx", "A 17009-2026")</f>
        <v/>
      </c>
      <c r="X16">
        <f>HYPERLINK("https://klasma.github.io/Logging_0140/kartor/A 17009-2026 karta.png", "A 17009-2026")</f>
        <v/>
      </c>
      <c r="Y16">
        <f>HYPERLINK("https://klasma.github.io/Logging_0140/kartor_geotiff/A 17009-2026 georefererad karta.tif", "A 17009-2026")</f>
        <v/>
      </c>
      <c r="AA16">
        <f>HYPERLINK("https://klasma.github.io/Logging_0140/klagomål/A 17009-2026 FSC-klagomål.docx", "A 17009-2026")</f>
        <v/>
      </c>
      <c r="AB16">
        <f>HYPERLINK("https://klasma.github.io/Logging_0140/klagomålsmail/A 17009-2026 FSC-klagomål mail.docx", "A 17009-2026")</f>
        <v/>
      </c>
      <c r="AC16">
        <f>HYPERLINK("https://klasma.github.io/Logging_0140/tillsyn/A 17009-2026 tillsynsbegäran.docx", "A 17009-2026")</f>
        <v/>
      </c>
      <c r="AD16">
        <f>HYPERLINK("https://klasma.github.io/Logging_0140/tillsynsmail/A 17009-2026 tillsynsbegäran mail.docx", "A 17009-2026")</f>
        <v/>
      </c>
    </row>
    <row r="17" ht="15" customHeight="1">
      <c r="A17" t="inlineStr">
        <is>
          <t>A 25754-2023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45084</v>
      </c>
      <c r="E17" s="1" t="n">
        <v>46295</v>
      </c>
      <c r="F17" t="inlineStr">
        <is>
          <t>STOCKHOLMS LÄN</t>
        </is>
      </c>
      <c r="G17" t="inlineStr">
        <is>
          <t>NYKVARN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Trana</t>
        </is>
      </c>
      <c r="W17">
        <f>HYPERLINK("https://klasma.github.io/Logging_0140/artfynd/A 25754-2023 artfynd.xlsx", "A 25754-2023")</f>
        <v/>
      </c>
      <c r="X17">
        <f>HYPERLINK("https://klasma.github.io/Logging_0140/kartor/A 25754-2023 karta.png", "A 25754-2023")</f>
        <v/>
      </c>
      <c r="Y17">
        <f>HYPERLINK("https://klasma.github.io/Logging_0140/kartor_geotiff/A 25754-2023 georefererad karta.tif", "A 25754-2023")</f>
        <v/>
      </c>
      <c r="AA17">
        <f>HYPERLINK("https://klasma.github.io/Logging_0140/klagomål/A 25754-2023 FSC-klagomål.docx", "A 25754-2023")</f>
        <v/>
      </c>
      <c r="AB17">
        <f>HYPERLINK("https://klasma.github.io/Logging_0140/klagomålsmail/A 25754-2023 FSC-klagomål mail.docx", "A 25754-2023")</f>
        <v/>
      </c>
      <c r="AC17">
        <f>HYPERLINK("https://klasma.github.io/Logging_0140/tillsyn/A 25754-2023 tillsynsbegäran.docx", "A 25754-2023")</f>
        <v/>
      </c>
      <c r="AD17">
        <f>HYPERLINK("https://klasma.github.io/Logging_0140/tillsynsmail/A 25754-2023 tillsynsbegäran mail.docx", "A 25754-2023")</f>
        <v/>
      </c>
      <c r="AE17">
        <f>HYPERLINK("https://klasma.github.io/Logging_0140/fåglar/A 25754-2023 prioriterade fågelarter.docx", "A 25754-2023")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46295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46295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46295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37597-2024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46295</v>
      </c>
      <c r="F21" t="inlineStr">
        <is>
          <t>STOCKHOLMS LÄN</t>
        </is>
      </c>
      <c r="G21" t="inlineStr">
        <is>
          <t>NYKVARN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HYPERLINK("https://klasma.github.io/Logging_0140/artfynd/A 37597-2024 artfynd.xlsx", "A 37597-2024")</f>
        <v/>
      </c>
      <c r="X21">
        <f>HYPERLINK("https://klasma.github.io/Logging_0140/kartor/A 37597-2024 karta.png", "A 37597-2024")</f>
        <v/>
      </c>
      <c r="Y21">
        <f>HYPERLINK("https://klasma.github.io/Logging_0140/kartor_geotiff/A 37597-2024 georefererad karta.tif", "A 37597-2024")</f>
        <v/>
      </c>
      <c r="AA21">
        <f>HYPERLINK("https://klasma.github.io/Logging_0140/klagomål/A 37597-2024 FSC-klagomål.docx", "A 37597-2024")</f>
        <v/>
      </c>
      <c r="AB21">
        <f>HYPERLINK("https://klasma.github.io/Logging_0140/klagomålsmail/A 37597-2024 FSC-klagomål mail.docx", "A 37597-2024")</f>
        <v/>
      </c>
      <c r="AC21">
        <f>HYPERLINK("https://klasma.github.io/Logging_0140/tillsyn/A 37597-2024 tillsynsbegäran.docx", "A 37597-2024")</f>
        <v/>
      </c>
      <c r="AD21">
        <f>HYPERLINK("https://klasma.github.io/Logging_0140/tillsynsmail/A 37597-2024 tillsynsbegäran mail.docx", "A 37597-2024")</f>
        <v/>
      </c>
      <c r="AE21">
        <f>HYPERLINK("https://klasma.github.io/Logging_0140/fåglar/A 37597-2024 prioriterade fågelarter.docx", "A 37597-2024")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46295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46295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46295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46295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46295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46295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46295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46295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46295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46295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46295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46295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46295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46295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46295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46295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46295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46295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45792</v>
      </c>
      <c r="E40" s="1" t="n">
        <v>46295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46295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38535-2025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45884</v>
      </c>
      <c r="E42" s="1" t="n">
        <v>46295</v>
      </c>
      <c r="F42" t="inlineStr">
        <is>
          <t>STOCKHOLMS LÄN</t>
        </is>
      </c>
      <c r="G42" t="inlineStr">
        <is>
          <t>NYKVARN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46295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46295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46295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46295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46295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46295</v>
      </c>
      <c r="F48" t="inlineStr">
        <is>
          <t>STOCKHOLMS LÄN</t>
        </is>
      </c>
      <c r="G48" t="inlineStr">
        <is>
          <t>NYKVARN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46295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46295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46295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46295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46295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19217-2026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46295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46295</v>
      </c>
      <c r="F55" t="inlineStr">
        <is>
          <t>STOCKHOLMS LÄN</t>
        </is>
      </c>
      <c r="G55" t="inlineStr">
        <is>
          <t>NYKVARN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46295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46295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46295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46295</v>
      </c>
      <c r="F59" t="inlineStr">
        <is>
          <t>STOCKHOLMS LÄN</t>
        </is>
      </c>
      <c r="G59" t="inlineStr">
        <is>
          <t>NYKVARN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46295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46295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45173</v>
      </c>
      <c r="E62" s="1" t="n">
        <v>46295</v>
      </c>
      <c r="F62" t="inlineStr">
        <is>
          <t>STOCKHOLMS LÄN</t>
        </is>
      </c>
      <c r="G62" t="inlineStr">
        <is>
          <t>NYKVARN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46295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46295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46295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46295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46295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46295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46295</v>
      </c>
      <c r="F69" t="inlineStr">
        <is>
          <t>STOCKHOLMS LÄN</t>
        </is>
      </c>
      <c r="G69" t="inlineStr">
        <is>
          <t>NYKVARN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46295</v>
      </c>
      <c r="F70" t="inlineStr">
        <is>
          <t>STOCKHOLMS LÄN</t>
        </is>
      </c>
      <c r="G70" t="inlineStr">
        <is>
          <t>NYKVARN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46295</v>
      </c>
      <c r="F71" t="inlineStr">
        <is>
          <t>STOCKHOLMS LÄN</t>
        </is>
      </c>
      <c r="G71" t="inlineStr">
        <is>
          <t>NYKVARN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46295</v>
      </c>
      <c r="F72" t="inlineStr">
        <is>
          <t>STOCKHOLMS LÄN</t>
        </is>
      </c>
      <c r="G72" t="inlineStr">
        <is>
          <t>NYKVARN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46295</v>
      </c>
      <c r="F73" t="inlineStr">
        <is>
          <t>STOCKHOLMS LÄN</t>
        </is>
      </c>
      <c r="G73" t="inlineStr">
        <is>
          <t>NYKVARN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46295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46295</v>
      </c>
      <c r="F75" t="inlineStr">
        <is>
          <t>STOCKHOLMS LÄN</t>
        </is>
      </c>
      <c r="G75" t="inlineStr">
        <is>
          <t>NYKVARN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46295</v>
      </c>
      <c r="F76" t="inlineStr">
        <is>
          <t>STOCKHOLMS LÄN</t>
        </is>
      </c>
      <c r="G76" t="inlineStr">
        <is>
          <t>NYKVARN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46295</v>
      </c>
      <c r="F77" t="inlineStr">
        <is>
          <t>STOCKHOLMS LÄN</t>
        </is>
      </c>
      <c r="G77" t="inlineStr">
        <is>
          <t>NYKVARN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46295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46295</v>
      </c>
      <c r="F79" t="inlineStr">
        <is>
          <t>STOCKHOLMS LÄN</t>
        </is>
      </c>
      <c r="G79" t="inlineStr">
        <is>
          <t>NYKVARN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46295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46295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36919-2026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46273</v>
      </c>
      <c r="E82" s="1" t="n">
        <v>46295</v>
      </c>
      <c r="F82" t="inlineStr">
        <is>
          <t>STOCKHOLMS LÄN</t>
        </is>
      </c>
      <c r="G82" t="inlineStr">
        <is>
          <t>NYKVARN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37266-2026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46295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46295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46295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44630</v>
      </c>
      <c r="E86" s="1" t="n">
        <v>46295</v>
      </c>
      <c r="F86" t="inlineStr">
        <is>
          <t>STOCKHOLMS LÄN</t>
        </is>
      </c>
      <c r="G86" t="inlineStr">
        <is>
          <t>NYKVARN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45309</v>
      </c>
      <c r="E87" s="1" t="n">
        <v>46295</v>
      </c>
      <c r="F87" t="inlineStr">
        <is>
          <t>STOCKHOLMS LÄN</t>
        </is>
      </c>
      <c r="G87" t="inlineStr">
        <is>
          <t>NYKVARN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46295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46295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2026-09-30T01:58:58Z</dcterms:created>
  <dcterms:modified xmlns:dcterms="http://purl.org/dc/terms/" xmlns:xsi="http://www.w3.org/2001/XMLSchema-instance" xsi:type="dcterms:W3CDTF">2026-09-30T01:58:59Z</dcterms:modified>
</cp:coreProperties>
</file>