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46268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46268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46268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46268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46268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46268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46268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46268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59342-2025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46268</v>
      </c>
      <c r="F10" t="inlineStr">
        <is>
          <t>STOCKHOLMS LÄN</t>
        </is>
      </c>
      <c r="G10" t="inlineStr">
        <is>
          <t>NYKVARN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HYPERLINK("https://klasma.github.io/Logging_0140/artfynd/A 59342-2025 artfynd.xlsx", "A 59342-2025")</f>
        <v/>
      </c>
      <c r="X10">
        <f>HYPERLINK("https://klasma.github.io/Logging_0140/kartor/A 59342-2025 karta.png", "A 59342-2025")</f>
        <v/>
      </c>
      <c r="Y10">
        <f>HYPERLINK("https://klasma.github.io/Logging_0140/kartor_geotiff/A 59342-2025 georefererad karta.tif", "A 59342-2025")</f>
        <v/>
      </c>
      <c r="AA10">
        <f>HYPERLINK("https://klasma.github.io/Logging_0140/klagomål/A 59342-2025 FSC-klagomål.docx", "A 59342-2025")</f>
        <v/>
      </c>
      <c r="AB10">
        <f>HYPERLINK("https://klasma.github.io/Logging_0140/klagomålsmail/A 59342-2025 FSC-klagomål mail.docx", "A 59342-2025")</f>
        <v/>
      </c>
      <c r="AC10">
        <f>HYPERLINK("https://klasma.github.io/Logging_0140/tillsyn/A 59342-2025 tillsynsbegäran.docx", "A 59342-2025")</f>
        <v/>
      </c>
      <c r="AD10">
        <f>HYPERLINK("https://klasma.github.io/Logging_0140/tillsynsmail/A 59342-2025 tillsynsbegäran mail.docx", "A 59342-2025")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46268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Skogsödla</t>
        </is>
      </c>
      <c r="W11">
        <f>HYPERLINK("https://klasma.github.io/Logging_0140/artfynd/A 15912-2026 artfynd.xlsx", "A 15912-2026")</f>
        <v/>
      </c>
      <c r="X11">
        <f>HYPERLINK("https://klasma.github.io/Logging_0140/kartor/A 15912-2026 karta.png", "A 15912-2026")</f>
        <v/>
      </c>
      <c r="Y11">
        <f>HYPERLINK("https://klasma.github.io/Logging_0140/kartor_geotiff/A 15912-2026 georefererad karta.tif", "A 15912-2026")</f>
        <v/>
      </c>
      <c r="AA11">
        <f>HYPERLINK("https://klasma.github.io/Logging_0140/klagomål/A 15912-2026 FSC-klagomål.docx", "A 15912-2026")</f>
        <v/>
      </c>
      <c r="AB11">
        <f>HYPERLINK("https://klasma.github.io/Logging_0140/klagomålsmail/A 15912-2026 FSC-klagomål mail.docx", "A 15912-2026")</f>
        <v/>
      </c>
      <c r="AC11">
        <f>HYPERLINK("https://klasma.github.io/Logging_0140/tillsyn/A 15912-2026 tillsynsbegäran.docx", "A 15912-2026")</f>
        <v/>
      </c>
      <c r="AD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46268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Mattlummer</t>
        </is>
      </c>
      <c r="W12">
        <f>HYPERLINK("https://klasma.github.io/Logging_0140/artfynd/A 17009-2026 artfynd.xlsx", "A 17009-2026")</f>
        <v/>
      </c>
      <c r="X12">
        <f>HYPERLINK("https://klasma.github.io/Logging_0140/kartor/A 17009-2026 karta.png", "A 17009-2026")</f>
        <v/>
      </c>
      <c r="Y12">
        <f>HYPERLINK("https://klasma.github.io/Logging_0140/kartor_geotiff/A 17009-2026 georefererad karta.tif", "A 17009-2026")</f>
        <v/>
      </c>
      <c r="AA12">
        <f>HYPERLINK("https://klasma.github.io/Logging_0140/klagomål/A 17009-2026 FSC-klagomål.docx", "A 17009-2026")</f>
        <v/>
      </c>
      <c r="AB12">
        <f>HYPERLINK("https://klasma.github.io/Logging_0140/klagomålsmail/A 17009-2026 FSC-klagomål mail.docx", "A 17009-2026")</f>
        <v/>
      </c>
      <c r="AC12">
        <f>HYPERLINK("https://klasma.github.io/Logging_0140/tillsyn/A 17009-2026 tillsynsbegäran.docx", "A 17009-2026")</f>
        <v/>
      </c>
      <c r="AD12">
        <f>HYPERLINK("https://klasma.github.io/Logging_0140/tillsynsmail/A 17009-2026 tillsynsbegäran mail.docx", "A 17009-2026")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46268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46268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 glada</t>
        </is>
      </c>
      <c r="W14">
        <f>HYPERLINK("https://klasma.github.io/Logging_0140/artfynd/A 37597-2024 artfynd.xlsx", "A 37597-2024")</f>
        <v/>
      </c>
      <c r="X14">
        <f>HYPERLINK("https://klasma.github.io/Logging_0140/kartor/A 37597-2024 karta.png", "A 37597-2024")</f>
        <v/>
      </c>
      <c r="Y14">
        <f>HYPERLINK("https://klasma.github.io/Logging_0140/kartor_geotiff/A 37597-2024 georefererad karta.tif", "A 37597-2024")</f>
        <v/>
      </c>
      <c r="AA14">
        <f>HYPERLINK("https://klasma.github.io/Logging_0140/klagomål/A 37597-2024 FSC-klagomål.docx", "A 37597-2024")</f>
        <v/>
      </c>
      <c r="AB14">
        <f>HYPERLINK("https://klasma.github.io/Logging_0140/klagomålsmail/A 37597-2024 FSC-klagomål mail.docx", "A 37597-2024")</f>
        <v/>
      </c>
      <c r="AC14">
        <f>HYPERLINK("https://klasma.github.io/Logging_0140/tillsyn/A 37597-2024 tillsynsbegäran.docx", "A 37597-2024")</f>
        <v/>
      </c>
      <c r="AD14">
        <f>HYPERLINK("https://klasma.github.io/Logging_0140/tillsynsmail/A 37597-2024 tillsynsbegäran mail.docx", "A 37597-2024")</f>
        <v/>
      </c>
      <c r="AE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45167</v>
      </c>
      <c r="E15" s="1" t="n">
        <v>46268</v>
      </c>
      <c r="F15" t="inlineStr">
        <is>
          <t>STOCKHOLMS LÄN</t>
        </is>
      </c>
      <c r="G15" t="inlineStr">
        <is>
          <t>NYKVARN</t>
        </is>
      </c>
      <c r="I15" t="n">
        <v>2.3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HYPERLINK("https://klasma.github.io/Logging_0140/artfynd/A 39539-2023 artfynd.xlsx", "A 39539-2023")</f>
        <v/>
      </c>
      <c r="X15">
        <f>HYPERLINK("https://klasma.github.io/Logging_0140/kartor/A 39539-2023 karta.png", "A 39539-2023")</f>
        <v/>
      </c>
      <c r="Y15">
        <f>HYPERLINK("https://klasma.github.io/Logging_0140/kartor_geotiff/A 39539-2023 georefererad karta.tif", "A 39539-2023")</f>
        <v/>
      </c>
      <c r="AA15">
        <f>HYPERLINK("https://klasma.github.io/Logging_0140/klagomål/A 39539-2023 FSC-klagomål.docx", "A 39539-2023")</f>
        <v/>
      </c>
      <c r="AB15">
        <f>HYPERLINK("https://klasma.github.io/Logging_0140/klagomålsmail/A 39539-2023 FSC-klagomål mail.docx", "A 39539-2023")</f>
        <v/>
      </c>
      <c r="AC15">
        <f>HYPERLINK("https://klasma.github.io/Logging_0140/tillsyn/A 39539-2023 tillsynsbegäran.docx", "A 39539-2023")</f>
        <v/>
      </c>
      <c r="AD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46268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46268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46268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46268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46268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46268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46268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46268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46268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46268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46268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46268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73212-2021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44550</v>
      </c>
      <c r="E28" s="1" t="n">
        <v>46268</v>
      </c>
      <c r="F28" t="inlineStr">
        <is>
          <t>STOCKHOLMS LÄN</t>
        </is>
      </c>
      <c r="G28" t="inlineStr">
        <is>
          <t>NYKVARN</t>
        </is>
      </c>
      <c r="H28" t="inlineStr">
        <is>
          <t>Allmännings- och besparingsskogar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24281-2022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46268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46268</v>
      </c>
      <c r="F30" t="inlineStr">
        <is>
          <t>STOCKHOLMS LÄN</t>
        </is>
      </c>
      <c r="G30" t="inlineStr">
        <is>
          <t>NYKVARN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67220-2021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46268</v>
      </c>
      <c r="F31" t="inlineStr">
        <is>
          <t>STOCKHOLMS LÄN</t>
        </is>
      </c>
      <c r="G31" t="inlineStr">
        <is>
          <t>NYKVARN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46268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46268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44872</v>
      </c>
      <c r="E34" s="1" t="n">
        <v>46268</v>
      </c>
      <c r="F34" t="inlineStr">
        <is>
          <t>STOCKHOLMS LÄN</t>
        </is>
      </c>
      <c r="G34" t="inlineStr">
        <is>
          <t>NYKVARN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45309</v>
      </c>
      <c r="E35" s="1" t="n">
        <v>46268</v>
      </c>
      <c r="F35" t="inlineStr">
        <is>
          <t>STOCKHOLMS LÄN</t>
        </is>
      </c>
      <c r="G35" t="inlineStr">
        <is>
          <t>NYKVARN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44969-2022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46268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51787-2021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44462</v>
      </c>
      <c r="E37" s="1" t="n">
        <v>46268</v>
      </c>
      <c r="F37" t="inlineStr">
        <is>
          <t>STOCKHOLMS LÄN</t>
        </is>
      </c>
      <c r="G37" t="inlineStr">
        <is>
          <t>NYKVARN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45884</v>
      </c>
      <c r="E38" s="1" t="n">
        <v>46268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46268</v>
      </c>
      <c r="F39" t="inlineStr">
        <is>
          <t>STOCKHOLMS LÄN</t>
        </is>
      </c>
      <c r="G39" t="inlineStr">
        <is>
          <t>NYKVARN</t>
        </is>
      </c>
      <c r="H39" t="inlineStr">
        <is>
          <t>Kyrkan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46268</v>
      </c>
      <c r="F40" t="inlineStr">
        <is>
          <t>STOCKHOLMS LÄN</t>
        </is>
      </c>
      <c r="G40" t="inlineStr">
        <is>
          <t>NYKVARN</t>
        </is>
      </c>
      <c r="H40" t="inlineStr">
        <is>
          <t>Kommuner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32555-2023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45121</v>
      </c>
      <c r="E41" s="1" t="n">
        <v>46268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46268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46268</v>
      </c>
      <c r="F43" t="inlineStr">
        <is>
          <t>STOCKHOLMS LÄN</t>
        </is>
      </c>
      <c r="G43" t="inlineStr">
        <is>
          <t>NYKVARN</t>
        </is>
      </c>
      <c r="H43" t="inlineStr">
        <is>
          <t>Allmännings- och besparingsskogar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44630</v>
      </c>
      <c r="E44" s="1" t="n">
        <v>46268</v>
      </c>
      <c r="F44" t="inlineStr">
        <is>
          <t>STOCKHOLMS LÄN</t>
        </is>
      </c>
      <c r="G44" t="inlineStr">
        <is>
          <t>NYKVARN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45989</v>
      </c>
      <c r="E45" s="1" t="n">
        <v>46268</v>
      </c>
      <c r="F45" t="inlineStr">
        <is>
          <t>STOCKHOLMS LÄN</t>
        </is>
      </c>
      <c r="G45" t="inlineStr">
        <is>
          <t>NYKVARN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45169</v>
      </c>
      <c r="E46" s="1" t="n">
        <v>46268</v>
      </c>
      <c r="F46" t="inlineStr">
        <is>
          <t>STOCKHOLMS LÄN</t>
        </is>
      </c>
      <c r="G46" t="inlineStr">
        <is>
          <t>NYKVARN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41681-2023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45173</v>
      </c>
      <c r="E47" s="1" t="n">
        <v>46268</v>
      </c>
      <c r="F47" t="inlineStr">
        <is>
          <t>STOCKHOLMS LÄN</t>
        </is>
      </c>
      <c r="G47" t="inlineStr">
        <is>
          <t>NYKVARN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24283-2022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46268</v>
      </c>
      <c r="F48" t="inlineStr">
        <is>
          <t>STOCKHOLMS LÄN</t>
        </is>
      </c>
      <c r="G48" t="inlineStr">
        <is>
          <t>NYKVARN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8096-2023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46268</v>
      </c>
      <c r="F49" t="inlineStr">
        <is>
          <t>STOCKHOLMS LÄN</t>
        </is>
      </c>
      <c r="G49" t="inlineStr">
        <is>
          <t>NYKVARN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46268</v>
      </c>
      <c r="F50" t="inlineStr">
        <is>
          <t>STOCKHOLMS LÄN</t>
        </is>
      </c>
      <c r="G50" t="inlineStr">
        <is>
          <t>NYKVARN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19217-2026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46268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45233</v>
      </c>
      <c r="E52" s="1" t="n">
        <v>46268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45235</v>
      </c>
      <c r="E53" s="1" t="n">
        <v>46268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45756</v>
      </c>
      <c r="E54" s="1" t="n">
        <v>46268</v>
      </c>
      <c r="F54" t="inlineStr">
        <is>
          <t>STOCKHOLMS LÄN</t>
        </is>
      </c>
      <c r="G54" t="inlineStr">
        <is>
          <t>NYKVARN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46268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46268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19487-2023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45050</v>
      </c>
      <c r="E57" s="1" t="n">
        <v>46268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45044</v>
      </c>
      <c r="E58" s="1" t="n">
        <v>46268</v>
      </c>
      <c r="F58" t="inlineStr">
        <is>
          <t>STOCKHOLMS LÄN</t>
        </is>
      </c>
      <c r="G58" t="inlineStr">
        <is>
          <t>NYKVARN</t>
        </is>
      </c>
      <c r="H58" t="inlineStr">
        <is>
          <t>Kyrkan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46268</v>
      </c>
      <c r="F59" t="inlineStr">
        <is>
          <t>STOCKHOLMS LÄN</t>
        </is>
      </c>
      <c r="G59" t="inlineStr">
        <is>
          <t>NYKVARN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63586-2023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45275</v>
      </c>
      <c r="E60" s="1" t="n">
        <v>46268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46268</v>
      </c>
      <c r="F61" t="inlineStr">
        <is>
          <t>STOCKHOLMS LÄN</t>
        </is>
      </c>
      <c r="G61" t="inlineStr">
        <is>
          <t>NYKVARN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44730</v>
      </c>
      <c r="E62" s="1" t="n">
        <v>46268</v>
      </c>
      <c r="F62" t="inlineStr">
        <is>
          <t>STOCKHOLMS LÄN</t>
        </is>
      </c>
      <c r="G62" t="inlineStr">
        <is>
          <t>NYKVARN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46268</v>
      </c>
      <c r="F63" t="inlineStr">
        <is>
          <t>STOCKHOLMS LÄN</t>
        </is>
      </c>
      <c r="G63" t="inlineStr">
        <is>
          <t>NYKVARN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46268</v>
      </c>
      <c r="F64" t="inlineStr">
        <is>
          <t>STOCKHOLMS LÄN</t>
        </is>
      </c>
      <c r="G64" t="inlineStr">
        <is>
          <t>NYKVARN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46268</v>
      </c>
      <c r="F65" t="inlineStr">
        <is>
          <t>STOCKHOLMS LÄN</t>
        </is>
      </c>
      <c r="G65" t="inlineStr">
        <is>
          <t>NYKVARN</t>
        </is>
      </c>
      <c r="H65" t="inlineStr">
        <is>
          <t>Allmännings- och besparingsskogar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24796-2026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46171</v>
      </c>
      <c r="E66" s="1" t="n">
        <v>46268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46268</v>
      </c>
      <c r="F67" t="inlineStr">
        <is>
          <t>STOCKHOLMS LÄN</t>
        </is>
      </c>
      <c r="G67" t="inlineStr">
        <is>
          <t>NYKVARN</t>
        </is>
      </c>
      <c r="I67" t="n">
        <v>10.6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46268</v>
      </c>
      <c r="F68" t="inlineStr">
        <is>
          <t>STOCKHOLMS LÄN</t>
        </is>
      </c>
      <c r="G68" t="inlineStr">
        <is>
          <t>NYKVARN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46268</v>
      </c>
      <c r="F69" t="inlineStr">
        <is>
          <t>STOCKHOLMS LÄN</t>
        </is>
      </c>
      <c r="G69" t="inlineStr">
        <is>
          <t>NYKVARN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46268</v>
      </c>
      <c r="F70" t="inlineStr">
        <is>
          <t>STOCKHOLMS LÄN</t>
        </is>
      </c>
      <c r="G70" t="inlineStr">
        <is>
          <t>NYKVARN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46268</v>
      </c>
      <c r="F71" t="inlineStr">
        <is>
          <t>STOCKHOLMS LÄN</t>
        </is>
      </c>
      <c r="G71" t="inlineStr">
        <is>
          <t>NYKVARN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46268</v>
      </c>
      <c r="F72" t="inlineStr">
        <is>
          <t>STOCKHOLMS LÄN</t>
        </is>
      </c>
      <c r="G72" t="inlineStr">
        <is>
          <t>NYKVARN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46268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46268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46268</v>
      </c>
      <c r="F75" t="inlineStr">
        <is>
          <t>STOCKHOLMS LÄN</t>
        </is>
      </c>
      <c r="G75" t="inlineStr">
        <is>
          <t>NYKVARN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63592-2023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45275</v>
      </c>
      <c r="E76" s="1" t="n">
        <v>46268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46268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44875</v>
      </c>
      <c r="E78" s="1" t="n">
        <v>46268</v>
      </c>
      <c r="F78" t="inlineStr">
        <is>
          <t>STOCKHOLMS LÄN</t>
        </is>
      </c>
      <c r="G78" t="inlineStr">
        <is>
          <t>NYKVARN</t>
        </is>
      </c>
      <c r="H78" t="inlineStr">
        <is>
          <t>Allmännings- och besparingsskogar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45309</v>
      </c>
      <c r="E79" s="1" t="n">
        <v>46268</v>
      </c>
      <c r="F79" t="inlineStr">
        <is>
          <t>STOCKHOLMS LÄN</t>
        </is>
      </c>
      <c r="G79" t="inlineStr">
        <is>
          <t>NYKVARN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46268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45792</v>
      </c>
      <c r="E81" s="1" t="n">
        <v>46268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S 1582-2024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45427</v>
      </c>
      <c r="E82" s="1" t="n">
        <v>46268</v>
      </c>
      <c r="F82" t="inlineStr">
        <is>
          <t>STOCKHOLMS LÄN</t>
        </is>
      </c>
      <c r="G82" t="inlineStr">
        <is>
          <t>NYKVARN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>
      <c r="A83" t="inlineStr">
        <is>
          <t>S 710-2025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45720</v>
      </c>
      <c r="E83" s="1" t="n">
        <v>46268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2026-09-03T02:05:11Z</dcterms:created>
  <dcterms:modified xmlns:dcterms="http://purl.org/dc/terms/" xmlns:xsi="http://www.w3.org/2001/XMLSchema-instance" xsi:type="dcterms:W3CDTF">2026-09-03T02:05:11Z</dcterms:modified>
</cp:coreProperties>
</file>