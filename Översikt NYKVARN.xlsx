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46290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46290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46290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46290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46290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46290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46290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11388-2024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45372</v>
      </c>
      <c r="E9" s="1" t="n">
        <v>46290</v>
      </c>
      <c r="F9" t="inlineStr">
        <is>
          <t>STOCKHOLMS LÄN</t>
        </is>
      </c>
      <c r="G9" t="inlineStr">
        <is>
          <t>NYKVARN</t>
        </is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Igelkott</t>
        </is>
      </c>
      <c r="W9">
        <f>HYPERLINK("https://klasma.github.io/Logging_0140/artfynd/A 11388-2024 artfynd.xlsx", "A 11388-2024")</f>
        <v/>
      </c>
      <c r="X9">
        <f>HYPERLINK("https://klasma.github.io/Logging_0140/kartor/A 11388-2024 karta.png", "A 11388-2024")</f>
        <v/>
      </c>
      <c r="Y9">
        <f>HYPERLINK("https://klasma.github.io/Logging_0140/kartor_geotiff/A 11388-2024 georefererad karta.tif", "A 11388-2024")</f>
        <v/>
      </c>
      <c r="AA9">
        <f>HYPERLINK("https://klasma.github.io/Logging_0140/klagomål/A 11388-2024 FSC-klagomål.docx", "A 11388-2024")</f>
        <v/>
      </c>
      <c r="AB9">
        <f>HYPERLINK("https://klasma.github.io/Logging_0140/klagomålsmail/A 11388-2024 FSC-klagomål mail.docx", "A 11388-2024")</f>
        <v/>
      </c>
      <c r="AC9">
        <f>HYPERLINK("https://klasma.github.io/Logging_0140/tillsyn/A 11388-2024 tillsynsbegäran.docx", "A 11388-2024")</f>
        <v/>
      </c>
      <c r="AD9">
        <f>HYPERLINK("https://klasma.github.io/Logging_0140/tillsynsmail/A 11388-2024 tillsynsbegäran mail.docx", "A 11388-2024")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46290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46290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HYPERLINK("https://klasma.github.io/Logging_0140/artfynd/A 25754-2023 artfynd.xlsx", "A 25754-2023")</f>
        <v/>
      </c>
      <c r="X11">
        <f>HYPERLINK("https://klasma.github.io/Logging_0140/kartor/A 25754-2023 karta.png", "A 25754-2023")</f>
        <v/>
      </c>
      <c r="Y11">
        <f>HYPERLINK("https://klasma.github.io/Logging_0140/kartor_geotiff/A 25754-2023 georefererad karta.tif", "A 25754-2023")</f>
        <v/>
      </c>
      <c r="AA11">
        <f>HYPERLINK("https://klasma.github.io/Logging_0140/klagomål/A 25754-2023 FSC-klagomål.docx", "A 25754-2023")</f>
        <v/>
      </c>
      <c r="AB11">
        <f>HYPERLINK("https://klasma.github.io/Logging_0140/klagomålsmail/A 25754-2023 FSC-klagomål mail.docx", "A 25754-2023")</f>
        <v/>
      </c>
      <c r="AC11">
        <f>HYPERLINK("https://klasma.github.io/Logging_0140/tillsyn/A 25754-2023 tillsynsbegäran.docx", "A 25754-2023")</f>
        <v/>
      </c>
      <c r="AD11">
        <f>HYPERLINK("https://klasma.github.io/Logging_0140/tillsynsmail/A 25754-2023 tillsynsbegäran mail.docx", "A 25754-2023")</f>
        <v/>
      </c>
      <c r="AE11">
        <f>HYPERLINK("https://klasma.github.io/Logging_0140/fåglar/A 25754-2023 prioriterade fågelarter.docx", "A 25754-2023")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46290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24790-2026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46290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HYPERLINK("https://klasma.github.io/Logging_0140/artfynd/A 24790-2026 artfynd.xlsx", "A 24790-2026")</f>
        <v/>
      </c>
      <c r="X13">
        <f>HYPERLINK("https://klasma.github.io/Logging_0140/kartor/A 24790-2026 karta.png", "A 24790-2026")</f>
        <v/>
      </c>
      <c r="Y13">
        <f>HYPERLINK("https://klasma.github.io/Logging_0140/kartor_geotiff/A 24790-2026 georefererad karta.tif", "A 24790-2026")</f>
        <v/>
      </c>
      <c r="AA13">
        <f>HYPERLINK("https://klasma.github.io/Logging_0140/klagomål/A 24790-2026 FSC-klagomål.docx", "A 24790-2026")</f>
        <v/>
      </c>
      <c r="AB13">
        <f>HYPERLINK("https://klasma.github.io/Logging_0140/klagomålsmail/A 24790-2026 FSC-klagomål mail.docx", "A 24790-2026")</f>
        <v/>
      </c>
      <c r="AC13">
        <f>HYPERLINK("https://klasma.github.io/Logging_0140/tillsyn/A 24790-2026 tillsynsbegäran.docx", "A 24790-2026")</f>
        <v/>
      </c>
      <c r="AD13">
        <f>HYPERLINK("https://klasma.github.io/Logging_0140/tillsynsmail/A 24790-2026 tillsynsbegäran mail.docx", "A 24790-2026")</f>
        <v/>
      </c>
    </row>
    <row r="14" ht="15" customHeight="1">
      <c r="A14" t="inlineStr">
        <is>
          <t>A 15912-2026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46107</v>
      </c>
      <c r="E14" s="1" t="n">
        <v>46290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12.9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Skogsödla</t>
        </is>
      </c>
      <c r="W14">
        <f>HYPERLINK("https://klasma.github.io/Logging_0140/artfynd/A 15912-2026 artfynd.xlsx", "A 15912-2026")</f>
        <v/>
      </c>
      <c r="X14">
        <f>HYPERLINK("https://klasma.github.io/Logging_0140/kartor/A 15912-2026 karta.png", "A 15912-2026")</f>
        <v/>
      </c>
      <c r="Y14">
        <f>HYPERLINK("https://klasma.github.io/Logging_0140/kartor_geotiff/A 15912-2026 georefererad karta.tif", "A 15912-2026")</f>
        <v/>
      </c>
      <c r="AA14">
        <f>HYPERLINK("https://klasma.github.io/Logging_0140/klagomål/A 15912-2026 FSC-klagomål.docx", "A 15912-2026")</f>
        <v/>
      </c>
      <c r="AB14">
        <f>HYPERLINK("https://klasma.github.io/Logging_0140/klagomålsmail/A 15912-2026 FSC-klagomål mail.docx", "A 15912-2026")</f>
        <v/>
      </c>
      <c r="AC14">
        <f>HYPERLINK("https://klasma.github.io/Logging_0140/tillsyn/A 15912-2026 tillsynsbegäran.docx", "A 15912-2026")</f>
        <v/>
      </c>
      <c r="AD14">
        <f>HYPERLINK("https://klasma.github.io/Logging_0140/tillsynsmail/A 15912-2026 tillsynsbegäran mail.docx", "A 15912-2026")</f>
        <v/>
      </c>
    </row>
    <row r="15" ht="15" customHeight="1">
      <c r="A15" t="inlineStr">
        <is>
          <t>A 17009-2026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46290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8.699999999999999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Mattlummer</t>
        </is>
      </c>
      <c r="W15">
        <f>HYPERLINK("https://klasma.github.io/Logging_0140/artfynd/A 17009-2026 artfynd.xlsx", "A 17009-2026")</f>
        <v/>
      </c>
      <c r="X15">
        <f>HYPERLINK("https://klasma.github.io/Logging_0140/kartor/A 17009-2026 karta.png", "A 17009-2026")</f>
        <v/>
      </c>
      <c r="Y15">
        <f>HYPERLINK("https://klasma.github.io/Logging_0140/kartor_geotiff/A 17009-2026 georefererad karta.tif", "A 17009-2026")</f>
        <v/>
      </c>
      <c r="AA15">
        <f>HYPERLINK("https://klasma.github.io/Logging_0140/klagomål/A 17009-2026 FSC-klagomål.docx", "A 17009-2026")</f>
        <v/>
      </c>
      <c r="AB15">
        <f>HYPERLINK("https://klasma.github.io/Logging_0140/klagomålsmail/A 17009-2026 FSC-klagomål mail.docx", "A 17009-2026")</f>
        <v/>
      </c>
      <c r="AC15">
        <f>HYPERLINK("https://klasma.github.io/Logging_0140/tillsyn/A 17009-2026 tillsynsbegäran.docx", "A 17009-2026")</f>
        <v/>
      </c>
      <c r="AD15">
        <f>HYPERLINK("https://klasma.github.io/Logging_0140/tillsynsmail/A 17009-2026 tillsynsbegäran mail.docx", "A 17009-2026")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46290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39539-2023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45167</v>
      </c>
      <c r="E17" s="1" t="n">
        <v>46290</v>
      </c>
      <c r="F17" t="inlineStr">
        <is>
          <t>STOCKHOLMS LÄN</t>
        </is>
      </c>
      <c r="G17" t="inlineStr">
        <is>
          <t>NYKVARN</t>
        </is>
      </c>
      <c r="I17" t="n">
        <v>2.3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HYPERLINK("https://klasma.github.io/Logging_0140/artfynd/A 39539-2023 artfynd.xlsx", "A 39539-2023")</f>
        <v/>
      </c>
      <c r="X17">
        <f>HYPERLINK("https://klasma.github.io/Logging_0140/kartor/A 39539-2023 karta.png", "A 39539-2023")</f>
        <v/>
      </c>
      <c r="Y17">
        <f>HYPERLINK("https://klasma.github.io/Logging_0140/kartor_geotiff/A 39539-2023 georefererad karta.tif", "A 39539-2023")</f>
        <v/>
      </c>
      <c r="AA17">
        <f>HYPERLINK("https://klasma.github.io/Logging_0140/klagomål/A 39539-2023 FSC-klagomål.docx", "A 39539-2023")</f>
        <v/>
      </c>
      <c r="AB17">
        <f>HYPERLINK("https://klasma.github.io/Logging_0140/klagomålsmail/A 39539-2023 FSC-klagomål mail.docx", "A 39539-2023")</f>
        <v/>
      </c>
      <c r="AC17">
        <f>HYPERLINK("https://klasma.github.io/Logging_0140/tillsyn/A 39539-2023 tillsynsbegäran.docx", "A 39539-2023")</f>
        <v/>
      </c>
      <c r="AD17">
        <f>HYPERLINK("https://klasma.github.io/Logging_0140/tillsynsmail/A 39539-2023 tillsynsbegäran mail.docx", "A 39539-2023")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46290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46290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11393-2022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44630</v>
      </c>
      <c r="E20" s="1" t="n">
        <v>46290</v>
      </c>
      <c r="F20" t="inlineStr">
        <is>
          <t>STOCKHOLMS LÄN</t>
        </is>
      </c>
      <c r="G20" t="inlineStr">
        <is>
          <t>NYKVARN</t>
        </is>
      </c>
      <c r="I20" t="n">
        <v>3.8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Björksplintborre</t>
        </is>
      </c>
      <c r="W20">
        <f>HYPERLINK("https://klasma.github.io/Logging_0140/artfynd/A 11393-2022 artfynd.xlsx", "A 11393-2022")</f>
        <v/>
      </c>
      <c r="X20">
        <f>HYPERLINK("https://klasma.github.io/Logging_0140/kartor/A 11393-2022 karta.png", "A 11393-2022")</f>
        <v/>
      </c>
      <c r="Y20">
        <f>HYPERLINK("https://klasma.github.io/Logging_0140/kartor_geotiff/A 11393-2022 georefererad karta.tif", "A 11393-2022")</f>
        <v/>
      </c>
      <c r="AA20">
        <f>HYPERLINK("https://klasma.github.io/Logging_0140/klagomål/A 11393-2022 FSC-klagomål.docx", "A 11393-2022")</f>
        <v/>
      </c>
      <c r="AB20">
        <f>HYPERLINK("https://klasma.github.io/Logging_0140/klagomålsmail/A 11393-2022 FSC-klagomål mail.docx", "A 11393-2022")</f>
        <v/>
      </c>
      <c r="AC20">
        <f>HYPERLINK("https://klasma.github.io/Logging_0140/tillsyn/A 11393-2022 tillsynsbegäran.docx", "A 11393-2022")</f>
        <v/>
      </c>
      <c r="AD20">
        <f>HYPERLINK("https://klasma.github.io/Logging_0140/tillsynsmail/A 11393-2022 tillsynsbegäran mail.docx", "A 11393-2022")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46290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46290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46290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46290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46290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46290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46290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46290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46290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46290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46290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46290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46290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46290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46290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46290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44969-2022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46290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45309</v>
      </c>
      <c r="E38" s="1" t="n">
        <v>46290</v>
      </c>
      <c r="F38" t="inlineStr">
        <is>
          <t>STOCKHOLMS LÄN</t>
        </is>
      </c>
      <c r="G38" t="inlineStr">
        <is>
          <t>NYKVARN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46290</v>
      </c>
      <c r="F39" t="inlineStr">
        <is>
          <t>STOCKHOLMS LÄN</t>
        </is>
      </c>
      <c r="G39" t="inlineStr">
        <is>
          <t>NYKVARN</t>
        </is>
      </c>
      <c r="H39" t="inlineStr">
        <is>
          <t>Kyrkan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32555-2023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45121</v>
      </c>
      <c r="E40" s="1" t="n">
        <v>46290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60324-2022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44910</v>
      </c>
      <c r="E41" s="1" t="n">
        <v>46290</v>
      </c>
      <c r="F41" t="inlineStr">
        <is>
          <t>STOCKHOLMS LÄN</t>
        </is>
      </c>
      <c r="G41" t="inlineStr">
        <is>
          <t>NYKVARN</t>
        </is>
      </c>
      <c r="H41" t="inlineStr">
        <is>
          <t>Kyrkan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46290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38535-2025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45884</v>
      </c>
      <c r="E43" s="1" t="n">
        <v>46290</v>
      </c>
      <c r="F43" t="inlineStr">
        <is>
          <t>STOCKHOLMS LÄN</t>
        </is>
      </c>
      <c r="G43" t="inlineStr">
        <is>
          <t>NYKVARN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46290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11430-2022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44630</v>
      </c>
      <c r="E45" s="1" t="n">
        <v>46290</v>
      </c>
      <c r="F45" t="inlineStr">
        <is>
          <t>STOCKHOLMS LÄN</t>
        </is>
      </c>
      <c r="G45" t="inlineStr">
        <is>
          <t>NYKVARN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45169</v>
      </c>
      <c r="E46" s="1" t="n">
        <v>46290</v>
      </c>
      <c r="F46" t="inlineStr">
        <is>
          <t>STOCKHOLMS LÄN</t>
        </is>
      </c>
      <c r="G46" t="inlineStr">
        <is>
          <t>NYKVARN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41681-2023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45173</v>
      </c>
      <c r="E47" s="1" t="n">
        <v>46290</v>
      </c>
      <c r="F47" t="inlineStr">
        <is>
          <t>STOCKHOLMS LÄN</t>
        </is>
      </c>
      <c r="G47" t="inlineStr">
        <is>
          <t>NYKVARN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24283-2022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46290</v>
      </c>
      <c r="F48" t="inlineStr">
        <is>
          <t>STOCKHOLMS LÄN</t>
        </is>
      </c>
      <c r="G48" t="inlineStr">
        <is>
          <t>NYKVARN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8096-2023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46290</v>
      </c>
      <c r="F49" t="inlineStr">
        <is>
          <t>STOCKHOLMS LÄN</t>
        </is>
      </c>
      <c r="G49" t="inlineStr">
        <is>
          <t>NYKVARN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45989</v>
      </c>
      <c r="E50" s="1" t="n">
        <v>46290</v>
      </c>
      <c r="F50" t="inlineStr">
        <is>
          <t>STOCKHOLMS LÄN</t>
        </is>
      </c>
      <c r="G50" t="inlineStr">
        <is>
          <t>NYKVARN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45233</v>
      </c>
      <c r="E51" s="1" t="n">
        <v>46290</v>
      </c>
      <c r="F51" t="inlineStr">
        <is>
          <t>STOCKHOLMS LÄN</t>
        </is>
      </c>
      <c r="G51" t="inlineStr">
        <is>
          <t>NYKVARN</t>
        </is>
      </c>
      <c r="H51" t="inlineStr">
        <is>
          <t>Kommuner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45235</v>
      </c>
      <c r="E52" s="1" t="n">
        <v>46290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45756</v>
      </c>
      <c r="E53" s="1" t="n">
        <v>46290</v>
      </c>
      <c r="F53" t="inlineStr">
        <is>
          <t>STOCKHOLMS LÄN</t>
        </is>
      </c>
      <c r="G53" t="inlineStr">
        <is>
          <t>NYKVARN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56639-2023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45243</v>
      </c>
      <c r="E54" s="1" t="n">
        <v>46290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45274</v>
      </c>
      <c r="E55" s="1" t="n">
        <v>46290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19487-2023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45050</v>
      </c>
      <c r="E56" s="1" t="n">
        <v>46290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45044</v>
      </c>
      <c r="E57" s="1" t="n">
        <v>46290</v>
      </c>
      <c r="F57" t="inlineStr">
        <is>
          <t>STOCKHOLMS LÄN</t>
        </is>
      </c>
      <c r="G57" t="inlineStr">
        <is>
          <t>NYKVARN</t>
        </is>
      </c>
      <c r="H57" t="inlineStr">
        <is>
          <t>Kyrkan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46290</v>
      </c>
      <c r="F58" t="inlineStr">
        <is>
          <t>STOCKHOLMS LÄN</t>
        </is>
      </c>
      <c r="G58" t="inlineStr">
        <is>
          <t>NYKVARN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63586-2023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46290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24796-2026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46171</v>
      </c>
      <c r="E60" s="1" t="n">
        <v>46290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46290</v>
      </c>
      <c r="F61" t="inlineStr">
        <is>
          <t>STOCKHOLMS LÄN</t>
        </is>
      </c>
      <c r="G61" t="inlineStr">
        <is>
          <t>NYKVARN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44730</v>
      </c>
      <c r="E62" s="1" t="n">
        <v>46290</v>
      </c>
      <c r="F62" t="inlineStr">
        <is>
          <t>STOCKHOLMS LÄN</t>
        </is>
      </c>
      <c r="G62" t="inlineStr">
        <is>
          <t>NYKVARN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46290</v>
      </c>
      <c r="F63" t="inlineStr">
        <is>
          <t>STOCKHOLMS LÄN</t>
        </is>
      </c>
      <c r="G63" t="inlineStr">
        <is>
          <t>NYKVARN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46290</v>
      </c>
      <c r="F64" t="inlineStr">
        <is>
          <t>STOCKHOLMS LÄN</t>
        </is>
      </c>
      <c r="G64" t="inlineStr">
        <is>
          <t>NYKVARN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36986-2025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45874</v>
      </c>
      <c r="E65" s="1" t="n">
        <v>46290</v>
      </c>
      <c r="F65" t="inlineStr">
        <is>
          <t>STOCKHOLMS LÄN</t>
        </is>
      </c>
      <c r="G65" t="inlineStr">
        <is>
          <t>NYKVARN</t>
        </is>
      </c>
      <c r="I65" t="n">
        <v>10.6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44713</v>
      </c>
      <c r="E66" s="1" t="n">
        <v>46290</v>
      </c>
      <c r="F66" t="inlineStr">
        <is>
          <t>STOCKHOLMS LÄN</t>
        </is>
      </c>
      <c r="G66" t="inlineStr">
        <is>
          <t>NYKVARN</t>
        </is>
      </c>
      <c r="H66" t="inlineStr">
        <is>
          <t>Allmännings- och besparingsskogar</t>
        </is>
      </c>
      <c r="I66" t="n">
        <v>8.4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46290</v>
      </c>
      <c r="F67" t="inlineStr">
        <is>
          <t>STOCKHOLMS LÄN</t>
        </is>
      </c>
      <c r="G67" t="inlineStr">
        <is>
          <t>NYKVARN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19217-2026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46132</v>
      </c>
      <c r="E68" s="1" t="n">
        <v>46290</v>
      </c>
      <c r="F68" t="inlineStr">
        <is>
          <t>STOCKHOLMS LÄN</t>
        </is>
      </c>
      <c r="G68" t="inlineStr">
        <is>
          <t>NYKVARN</t>
        </is>
      </c>
      <c r="H68" t="inlineStr">
        <is>
          <t>Sveaskog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19903-2023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46290</v>
      </c>
      <c r="F69" t="inlineStr">
        <is>
          <t>STOCKHOLMS LÄN</t>
        </is>
      </c>
      <c r="G69" t="inlineStr">
        <is>
          <t>NYKVARN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46290</v>
      </c>
      <c r="F70" t="inlineStr">
        <is>
          <t>STOCKHOLMS LÄN</t>
        </is>
      </c>
      <c r="G70" t="inlineStr">
        <is>
          <t>NYKVARN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34328-2026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46254</v>
      </c>
      <c r="E71" s="1" t="n">
        <v>46290</v>
      </c>
      <c r="F71" t="inlineStr">
        <is>
          <t>STOCKHOLMS LÄN</t>
        </is>
      </c>
      <c r="G71" t="inlineStr">
        <is>
          <t>NYKVARN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46290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46290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63592-2023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45275</v>
      </c>
      <c r="E74" s="1" t="n">
        <v>46290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31740-2026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46227</v>
      </c>
      <c r="E75" s="1" t="n">
        <v>46290</v>
      </c>
      <c r="F75" t="inlineStr">
        <is>
          <t>STOCKHOLMS LÄN</t>
        </is>
      </c>
      <c r="G75" t="inlineStr">
        <is>
          <t>NYKVARN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31741-2026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46290</v>
      </c>
      <c r="F76" t="inlineStr">
        <is>
          <t>STOCKHOLMS LÄN</t>
        </is>
      </c>
      <c r="G76" t="inlineStr">
        <is>
          <t>NYKVARN</t>
        </is>
      </c>
      <c r="I76" t="n">
        <v>9.300000000000001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36919-2026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46273</v>
      </c>
      <c r="E77" s="1" t="n">
        <v>46290</v>
      </c>
      <c r="F77" t="inlineStr">
        <is>
          <t>STOCKHOLMS LÄN</t>
        </is>
      </c>
      <c r="G77" t="inlineStr">
        <is>
          <t>NYKVARN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46227</v>
      </c>
      <c r="E78" s="1" t="n">
        <v>46290</v>
      </c>
      <c r="F78" t="inlineStr">
        <is>
          <t>STOCKHOLMS LÄN</t>
        </is>
      </c>
      <c r="G78" t="inlineStr">
        <is>
          <t>NYKVARN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37306-2026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46290</v>
      </c>
      <c r="F79" t="inlineStr">
        <is>
          <t>STOCKHOLMS LÄN</t>
        </is>
      </c>
      <c r="G79" t="inlineStr">
        <is>
          <t>NYKVARN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37271-2026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46290</v>
      </c>
      <c r="F80" t="inlineStr">
        <is>
          <t>STOCKHOLMS LÄN</t>
        </is>
      </c>
      <c r="G80" t="inlineStr">
        <is>
          <t>NYKVARN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46290</v>
      </c>
      <c r="F81" t="inlineStr">
        <is>
          <t>STOCKHOLMS LÄN</t>
        </is>
      </c>
      <c r="G81" t="inlineStr">
        <is>
          <t>NYKVARN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37244-2026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46274</v>
      </c>
      <c r="E82" s="1" t="n">
        <v>46290</v>
      </c>
      <c r="F82" t="inlineStr">
        <is>
          <t>STOCKHOLMS LÄN</t>
        </is>
      </c>
      <c r="G82" t="inlineStr">
        <is>
          <t>NYKVARN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37266-2026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46274</v>
      </c>
      <c r="E83" s="1" t="n">
        <v>46290</v>
      </c>
      <c r="F83" t="inlineStr">
        <is>
          <t>STOCKHOLMS LÄN</t>
        </is>
      </c>
      <c r="G83" t="inlineStr">
        <is>
          <t>NYKVARN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46290</v>
      </c>
      <c r="F84" t="inlineStr">
        <is>
          <t>STOCKHOLMS LÄN</t>
        </is>
      </c>
      <c r="G84" t="inlineStr">
        <is>
          <t>NYKVARN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37309-2026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46274</v>
      </c>
      <c r="E85" s="1" t="n">
        <v>46290</v>
      </c>
      <c r="F85" t="inlineStr">
        <is>
          <t>STOCKHOLMS LÄN</t>
        </is>
      </c>
      <c r="G85" t="inlineStr">
        <is>
          <t>NYKVARN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45761</v>
      </c>
      <c r="E86" s="1" t="n">
        <v>46290</v>
      </c>
      <c r="F86" t="inlineStr">
        <is>
          <t>STOCKHOLMS LÄN</t>
        </is>
      </c>
      <c r="G86" t="inlineStr">
        <is>
          <t>NYKVARN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46290</v>
      </c>
      <c r="F87" t="inlineStr">
        <is>
          <t>STOCKHOLMS LÄN</t>
        </is>
      </c>
      <c r="G87" t="inlineStr">
        <is>
          <t>NYKVARN</t>
        </is>
      </c>
      <c r="H87" t="inlineStr">
        <is>
          <t>Allmännings- och besparingsskogar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45309</v>
      </c>
      <c r="E88" s="1" t="n">
        <v>46290</v>
      </c>
      <c r="F88" t="inlineStr">
        <is>
          <t>STOCKHOLMS LÄN</t>
        </is>
      </c>
      <c r="G88" t="inlineStr">
        <is>
          <t>NYKVARN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23284-2025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46290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46290</v>
      </c>
      <c r="F90" t="inlineStr">
        <is>
          <t>STOCKHOLMS LÄN</t>
        </is>
      </c>
      <c r="G90" t="inlineStr">
        <is>
          <t>NYKVARN</t>
        </is>
      </c>
      <c r="H90" t="inlineStr">
        <is>
          <t>Sveaskog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1582-2024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45427</v>
      </c>
      <c r="E91" s="1" t="n">
        <v>46290</v>
      </c>
      <c r="F91" t="inlineStr">
        <is>
          <t>STOCKHOLMS LÄN</t>
        </is>
      </c>
      <c r="G91" t="inlineStr">
        <is>
          <t>NYKVARN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710-2025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45720</v>
      </c>
      <c r="E92" s="1" t="n">
        <v>46290</v>
      </c>
      <c r="F92" t="inlineStr">
        <is>
          <t>STOCKHOLMS LÄN</t>
        </is>
      </c>
      <c r="G92" t="inlineStr">
        <is>
          <t>NYKVARN</t>
        </is>
      </c>
      <c r="H92" t="inlineStr">
        <is>
          <t>Sveaskog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2026-09-25T02:04:43Z</dcterms:created>
  <dcterms:modified xmlns:dcterms="http://purl.org/dc/terms/" xmlns:xsi="http://www.w3.org/2001/XMLSchema-instance" xsi:type="dcterms:W3CDTF">2026-09-25T02:04:43Z</dcterms:modified>
</cp:coreProperties>
</file>