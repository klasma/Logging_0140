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46192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37597-2024</t>
        </is>
      </c>
      <c r="B6" s="1" t="n">
        <v>45541</v>
      </c>
      <c r="C6" s="1" t="n">
        <v>46192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39539-2023</t>
        </is>
      </c>
      <c r="B7" s="1" t="n">
        <v>45167</v>
      </c>
      <c r="C7" s="1" t="n">
        <v>46192</v>
      </c>
      <c r="D7" t="inlineStr">
        <is>
          <t>STOCKHOLMS LÄN</t>
        </is>
      </c>
      <c r="E7" t="inlineStr">
        <is>
          <t>NYKVARN</t>
        </is>
      </c>
      <c r="G7" t="n">
        <v>2.3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39539-2023 artfynd.xlsx", "A 39539-2023")</f>
        <v/>
      </c>
      <c r="T7">
        <f>HYPERLINK("https://klasma.github.io/Logging_0140/kartor/A 39539-2023 karta.png", "A 39539-2023")</f>
        <v/>
      </c>
      <c r="V7">
        <f>HYPERLINK("https://klasma.github.io/Logging_0140/klagomål/A 39539-2023 FSC-klagomål.docx", "A 39539-2023")</f>
        <v/>
      </c>
      <c r="W7">
        <f>HYPERLINK("https://klasma.github.io/Logging_0140/klagomålsmail/A 39539-2023 FSC-klagomål mail.docx", "A 39539-2023")</f>
        <v/>
      </c>
      <c r="X7">
        <f>HYPERLINK("https://klasma.github.io/Logging_0140/tillsyn/A 39539-2023 tillsynsbegäran.docx", "A 39539-2023")</f>
        <v/>
      </c>
      <c r="Y7">
        <f>HYPERLINK("https://klasma.github.io/Logging_0140/tillsynsmail/A 39539-2023 tillsynsbegäran mail.docx", "A 39539-2023")</f>
        <v/>
      </c>
    </row>
    <row r="8" ht="15" customHeight="1">
      <c r="A8" t="inlineStr">
        <is>
          <t>A 6876-2022</t>
        </is>
      </c>
      <c r="B8" s="1" t="n">
        <v>44602</v>
      </c>
      <c r="C8" s="1" t="n">
        <v>46192</v>
      </c>
      <c r="D8" t="inlineStr">
        <is>
          <t>STOCKHOLMS LÄN</t>
        </is>
      </c>
      <c r="E8" t="inlineStr">
        <is>
          <t>NYKVARN</t>
        </is>
      </c>
      <c r="F8" t="inlineStr">
        <is>
          <t>Kommuner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HYPERLINK("https://klasma.github.io/Logging_0140/artfynd/A 6876-2022 artfynd.xlsx", "A 6876-2022")</f>
        <v/>
      </c>
      <c r="T8">
        <f>HYPERLINK("https://klasma.github.io/Logging_0140/kartor/A 6876-2022 karta.png", "A 6876-2022")</f>
        <v/>
      </c>
      <c r="V8">
        <f>HYPERLINK("https://klasma.github.io/Logging_0140/klagomål/A 6876-2022 FSC-klagomål.docx", "A 6876-2022")</f>
        <v/>
      </c>
      <c r="W8">
        <f>HYPERLINK("https://klasma.github.io/Logging_0140/klagomålsmail/A 6876-2022 FSC-klagomål mail.docx", "A 6876-2022")</f>
        <v/>
      </c>
      <c r="X8">
        <f>HYPERLINK("https://klasma.github.io/Logging_0140/tillsyn/A 6876-2022 tillsynsbegäran.docx", "A 6876-2022")</f>
        <v/>
      </c>
      <c r="Y8">
        <f>HYPERLINK("https://klasma.github.io/Logging_0140/tillsynsmail/A 6876-2022 tillsynsbegäran mail.docx", "A 6876-2022")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46192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11388-2024</t>
        </is>
      </c>
      <c r="B10" s="1" t="n">
        <v>45372</v>
      </c>
      <c r="C10" s="1" t="n">
        <v>46192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59342-2025</t>
        </is>
      </c>
      <c r="B11" s="1" t="n">
        <v>45989</v>
      </c>
      <c r="C11" s="1" t="n">
        <v>46192</v>
      </c>
      <c r="D11" t="inlineStr">
        <is>
          <t>STOCKHOLMS LÄN</t>
        </is>
      </c>
      <c r="E11" t="inlineStr">
        <is>
          <t>NYKVARN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Kösa</t>
        </is>
      </c>
      <c r="S11">
        <f>HYPERLINK("https://klasma.github.io/Logging_0140/artfynd/A 59342-2025 artfynd.xlsx", "A 59342-2025")</f>
        <v/>
      </c>
      <c r="T11">
        <f>HYPERLINK("https://klasma.github.io/Logging_0140/kartor/A 59342-2025 karta.png", "A 59342-2025")</f>
        <v/>
      </c>
      <c r="V11">
        <f>HYPERLINK("https://klasma.github.io/Logging_0140/klagomål/A 59342-2025 FSC-klagomål.docx", "A 59342-2025")</f>
        <v/>
      </c>
      <c r="W11">
        <f>HYPERLINK("https://klasma.github.io/Logging_0140/klagomålsmail/A 59342-2025 FSC-klagomål mail.docx", "A 59342-2025")</f>
        <v/>
      </c>
      <c r="X11">
        <f>HYPERLINK("https://klasma.github.io/Logging_0140/tillsyn/A 59342-2025 tillsynsbegäran.docx", "A 59342-2025")</f>
        <v/>
      </c>
      <c r="Y11">
        <f>HYPERLINK("https://klasma.github.io/Logging_0140/tillsynsmail/A 59342-2025 tillsynsbegäran mail.docx", "A 59342-2025")</f>
        <v/>
      </c>
    </row>
    <row r="12" ht="15" customHeight="1">
      <c r="A12" t="inlineStr">
        <is>
          <t>A 18848-2024</t>
        </is>
      </c>
      <c r="B12" s="1" t="n">
        <v>45426</v>
      </c>
      <c r="C12" s="1" t="n">
        <v>46192</v>
      </c>
      <c r="D12" t="inlineStr">
        <is>
          <t>STOCKHOLMS LÄN</t>
        </is>
      </c>
      <c r="E12" t="inlineStr">
        <is>
          <t>NYKVARN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HYPERLINK("https://klasma.github.io/Logging_0140/artfynd/A 18848-2024 artfynd.xlsx", "A 18848-2024")</f>
        <v/>
      </c>
      <c r="T12">
        <f>HYPERLINK("https://klasma.github.io/Logging_0140/kartor/A 18848-2024 karta.png", "A 18848-2024")</f>
        <v/>
      </c>
      <c r="V12">
        <f>HYPERLINK("https://klasma.github.io/Logging_0140/klagomål/A 18848-2024 FSC-klagomål.docx", "A 18848-2024")</f>
        <v/>
      </c>
      <c r="W12">
        <f>HYPERLINK("https://klasma.github.io/Logging_0140/klagomålsmail/A 18848-2024 FSC-klagomål mail.docx", "A 18848-2024")</f>
        <v/>
      </c>
      <c r="X12">
        <f>HYPERLINK("https://klasma.github.io/Logging_0140/tillsyn/A 18848-2024 tillsynsbegäran.docx", "A 18848-2024")</f>
        <v/>
      </c>
      <c r="Y12">
        <f>HYPERLINK("https://klasma.github.io/Logging_0140/tillsynsmail/A 18848-2024 tillsynsbegäran mail.docx", "A 18848-2024")</f>
        <v/>
      </c>
    </row>
    <row r="13" ht="15" customHeight="1">
      <c r="A13" t="inlineStr">
        <is>
          <t>A 25754-2023</t>
        </is>
      </c>
      <c r="B13" s="1" t="n">
        <v>45084</v>
      </c>
      <c r="C13" s="1" t="n">
        <v>46192</v>
      </c>
      <c r="D13" t="inlineStr">
        <is>
          <t>STOCKHOLMS LÄN</t>
        </is>
      </c>
      <c r="E13" t="inlineStr">
        <is>
          <t>NYKVARN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HYPERLINK("https://klasma.github.io/Logging_0140/artfynd/A 25754-2023 artfynd.xlsx", "A 25754-2023")</f>
        <v/>
      </c>
      <c r="T13">
        <f>HYPERLINK("https://klasma.github.io/Logging_0140/kartor/A 25754-2023 karta.png", "A 25754-2023")</f>
        <v/>
      </c>
      <c r="V13">
        <f>HYPERLINK("https://klasma.github.io/Logging_0140/klagomål/A 25754-2023 FSC-klagomål.docx", "A 25754-2023")</f>
        <v/>
      </c>
      <c r="W13">
        <f>HYPERLINK("https://klasma.github.io/Logging_0140/klagomålsmail/A 25754-2023 FSC-klagomål mail.docx", "A 25754-2023")</f>
        <v/>
      </c>
      <c r="X13">
        <f>HYPERLINK("https://klasma.github.io/Logging_0140/tillsyn/A 25754-2023 tillsynsbegäran.docx", "A 25754-2023")</f>
        <v/>
      </c>
      <c r="Y13">
        <f>HYPERLINK("https://klasma.github.io/Logging_0140/tillsynsmail/A 25754-2023 tillsynsbegäran mail.docx", "A 25754-2023")</f>
        <v/>
      </c>
      <c r="Z13">
        <f>HYPERLINK("https://klasma.github.io/Logging_0140/fåglar/A 25754-2023 prioriterade fågelarter.docx", "A 25754-2023")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46192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46192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15912-2026</t>
        </is>
      </c>
      <c r="B16" s="1" t="n">
        <v>46107</v>
      </c>
      <c r="C16" s="1" t="n">
        <v>46192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12.9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HYPERLINK("https://klasma.github.io/Logging_0140/artfynd/A 15912-2026 artfynd.xlsx", "A 15912-2026")</f>
        <v/>
      </c>
      <c r="T16">
        <f>HYPERLINK("https://klasma.github.io/Logging_0140/kartor/A 15912-2026 karta.png", "A 15912-2026")</f>
        <v/>
      </c>
      <c r="V16">
        <f>HYPERLINK("https://klasma.github.io/Logging_0140/klagomål/A 15912-2026 FSC-klagomål.docx", "A 15912-2026")</f>
        <v/>
      </c>
      <c r="W16">
        <f>HYPERLINK("https://klasma.github.io/Logging_0140/klagomålsmail/A 15912-2026 FSC-klagomål mail.docx", "A 15912-2026")</f>
        <v/>
      </c>
      <c r="X16">
        <f>HYPERLINK("https://klasma.github.io/Logging_0140/tillsyn/A 15912-2026 tillsynsbegäran.docx", "A 15912-2026")</f>
        <v/>
      </c>
      <c r="Y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s="1" t="n">
        <v>46114</v>
      </c>
      <c r="C17" s="1" t="n">
        <v>46192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8.699999999999999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HYPERLINK("https://klasma.github.io/Logging_0140/artfynd/A 17009-2026 artfynd.xlsx", "A 17009-2026")</f>
        <v/>
      </c>
      <c r="T17">
        <f>HYPERLINK("https://klasma.github.io/Logging_0140/kartor/A 17009-2026 karta.png", "A 17009-2026")</f>
        <v/>
      </c>
      <c r="V17">
        <f>HYPERLINK("https://klasma.github.io/Logging_0140/klagomål/A 17009-2026 FSC-klagomål.docx", "A 17009-2026")</f>
        <v/>
      </c>
      <c r="W17">
        <f>HYPERLINK("https://klasma.github.io/Logging_0140/klagomålsmail/A 17009-2026 FSC-klagomål mail.docx", "A 17009-2026")</f>
        <v/>
      </c>
      <c r="X17">
        <f>HYPERLINK("https://klasma.github.io/Logging_0140/tillsyn/A 17009-2026 tillsynsbegäran.docx", "A 17009-2026")</f>
        <v/>
      </c>
      <c r="Y17">
        <f>HYPERLINK("https://klasma.github.io/Logging_0140/tillsynsmail/A 17009-2026 tillsynsbegäran mail.docx", "A 17009-2026")</f>
        <v/>
      </c>
    </row>
    <row r="18" ht="15" customHeight="1">
      <c r="A18" t="inlineStr">
        <is>
          <t>A 24790-2026</t>
        </is>
      </c>
      <c r="B18" s="1" t="n">
        <v>46171</v>
      </c>
      <c r="C18" s="1" t="n">
        <v>46192</v>
      </c>
      <c r="D18" t="inlineStr">
        <is>
          <t>STOCKHOLMS LÄN</t>
        </is>
      </c>
      <c r="E18" t="inlineStr">
        <is>
          <t>NYKVARN</t>
        </is>
      </c>
      <c r="F18" t="inlineStr">
        <is>
          <t>Kommuner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HYPERLINK("https://klasma.github.io/Logging_0140/artfynd/A 24790-2026 artfynd.xlsx", "A 24790-2026")</f>
        <v/>
      </c>
      <c r="T18">
        <f>HYPERLINK("https://klasma.github.io/Logging_0140/kartor/A 24790-2026 karta.png", "A 24790-2026")</f>
        <v/>
      </c>
      <c r="V18">
        <f>HYPERLINK("https://klasma.github.io/Logging_0140/klagomål/A 24790-2026 FSC-klagomål.docx", "A 24790-2026")</f>
        <v/>
      </c>
      <c r="W18">
        <f>HYPERLINK("https://klasma.github.io/Logging_0140/klagomålsmail/A 24790-2026 FSC-klagomål mail.docx", "A 24790-2026")</f>
        <v/>
      </c>
      <c r="X18">
        <f>HYPERLINK("https://klasma.github.io/Logging_0140/tillsyn/A 24790-2026 tillsynsbegäran.docx", "A 24790-2026")</f>
        <v/>
      </c>
      <c r="Y18">
        <f>HYPERLINK("https://klasma.github.io/Logging_0140/tillsynsmail/A 24790-2026 tillsynsbegäran mail.docx", "A 24790-2026")</f>
        <v/>
      </c>
    </row>
    <row r="19" ht="15" customHeight="1">
      <c r="A19" t="inlineStr">
        <is>
          <t>A 37967-2021</t>
        </is>
      </c>
      <c r="B19" s="1" t="n">
        <v>44403</v>
      </c>
      <c r="C19" s="1" t="n">
        <v>46192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12578-2022</t>
        </is>
      </c>
      <c r="B20" s="1" t="n">
        <v>44638</v>
      </c>
      <c r="C20" s="1" t="n">
        <v>46192</v>
      </c>
      <c r="D20" t="inlineStr">
        <is>
          <t>STOCKHOLMS LÄN</t>
        </is>
      </c>
      <c r="E20" t="inlineStr">
        <is>
          <t>NYKVARN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46192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46192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46192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46192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46192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63586-2023</t>
        </is>
      </c>
      <c r="B28" s="1" t="n">
        <v>45275</v>
      </c>
      <c r="C28" s="1" t="n">
        <v>46192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46192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22531-2022</t>
        </is>
      </c>
      <c r="B30" s="1" t="n">
        <v>44713</v>
      </c>
      <c r="C30" s="1" t="n">
        <v>46192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50031-2023</t>
        </is>
      </c>
      <c r="B31" s="1" t="n">
        <v>45215</v>
      </c>
      <c r="C31" s="1" t="n">
        <v>46192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25278-2022</t>
        </is>
      </c>
      <c r="B32" s="1" t="n">
        <v>44730</v>
      </c>
      <c r="C32" s="1" t="n">
        <v>46192</v>
      </c>
      <c r="D32" t="inlineStr">
        <is>
          <t>STOCKHOLMS LÄN</t>
        </is>
      </c>
      <c r="E32" t="inlineStr">
        <is>
          <t>NYKVARN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8295-2022</t>
        </is>
      </c>
      <c r="B33" s="1" t="n">
        <v>44610</v>
      </c>
      <c r="C33" s="1" t="n">
        <v>46192</v>
      </c>
      <c r="D33" t="inlineStr">
        <is>
          <t>STOCKHOLMS LÄN</t>
        </is>
      </c>
      <c r="E33" t="inlineStr">
        <is>
          <t>NYKVARN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</v>
      </c>
      <c r="C34" s="1" t="n">
        <v>46192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67220-2021</t>
        </is>
      </c>
      <c r="B35" s="1" t="n">
        <v>44523</v>
      </c>
      <c r="C35" s="1" t="n">
        <v>46192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71540-2021</t>
        </is>
      </c>
      <c r="B36" s="1" t="n">
        <v>44540</v>
      </c>
      <c r="C36" s="1" t="n">
        <v>46192</v>
      </c>
      <c r="D36" t="inlineStr">
        <is>
          <t>STOCKHOLMS LÄN</t>
        </is>
      </c>
      <c r="E36" t="inlineStr">
        <is>
          <t>NYKVARN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7926-2023</t>
        </is>
      </c>
      <c r="B37" s="1" t="n">
        <v>44973</v>
      </c>
      <c r="C37" s="1" t="n">
        <v>46192</v>
      </c>
      <c r="D37" t="inlineStr">
        <is>
          <t>STOCKHOLMS LÄN</t>
        </is>
      </c>
      <c r="E37" t="inlineStr">
        <is>
          <t>NYKVARN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22529-2022</t>
        </is>
      </c>
      <c r="B38" s="1" t="n">
        <v>44713</v>
      </c>
      <c r="C38" s="1" t="n">
        <v>46192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52878-2022</t>
        </is>
      </c>
      <c r="B39" s="1" t="n">
        <v>44872</v>
      </c>
      <c r="C39" s="1" t="n">
        <v>46192</v>
      </c>
      <c r="D39" t="inlineStr">
        <is>
          <t>STOCKHOLMS LÄN</t>
        </is>
      </c>
      <c r="E39" t="inlineStr">
        <is>
          <t>NYKVARN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36986-2025</t>
        </is>
      </c>
      <c r="B40" s="1" t="n">
        <v>45874</v>
      </c>
      <c r="C40" s="1" t="n">
        <v>46192</v>
      </c>
      <c r="D40" t="inlineStr">
        <is>
          <t>STOCKHOLMS LÄN</t>
        </is>
      </c>
      <c r="E40" t="inlineStr">
        <is>
          <t>NYKVARN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44969-2022</t>
        </is>
      </c>
      <c r="B41" s="1" t="n">
        <v>44841</v>
      </c>
      <c r="C41" s="1" t="n">
        <v>46192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2172-2024</t>
        </is>
      </c>
      <c r="B42" s="1" t="n">
        <v>45309</v>
      </c>
      <c r="C42" s="1" t="n">
        <v>46192</v>
      </c>
      <c r="D42" t="inlineStr">
        <is>
          <t>STOCKHOLMS LÄN</t>
        </is>
      </c>
      <c r="E42" t="inlineStr">
        <is>
          <t>NYKVARN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19903-2023</t>
        </is>
      </c>
      <c r="B43" s="1" t="n">
        <v>45054</v>
      </c>
      <c r="C43" s="1" t="n">
        <v>46192</v>
      </c>
      <c r="D43" t="inlineStr">
        <is>
          <t>STOCKHOLMS LÄN</t>
        </is>
      </c>
      <c r="E43" t="inlineStr">
        <is>
          <t>NYKVARN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</v>
      </c>
      <c r="C44" s="1" t="n">
        <v>46192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46192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59348-2025</t>
        </is>
      </c>
      <c r="B46" s="1" t="n">
        <v>45989</v>
      </c>
      <c r="C46" s="1" t="n">
        <v>46192</v>
      </c>
      <c r="D46" t="inlineStr">
        <is>
          <t>STOCKHOLMS LÄN</t>
        </is>
      </c>
      <c r="E46" t="inlineStr">
        <is>
          <t>NYKVARN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46192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51813-2024</t>
        </is>
      </c>
      <c r="B48" s="1" t="n">
        <v>45607</v>
      </c>
      <c r="C48" s="1" t="n">
        <v>46192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</v>
      </c>
      <c r="C49" s="1" t="n">
        <v>46192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6854-2022</t>
        </is>
      </c>
      <c r="B50" s="1" t="n">
        <v>44602</v>
      </c>
      <c r="C50" s="1" t="n">
        <v>46192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32555-2023</t>
        </is>
      </c>
      <c r="B51" s="1" t="n">
        <v>45121</v>
      </c>
      <c r="C51" s="1" t="n">
        <v>46192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60324-2022</t>
        </is>
      </c>
      <c r="B52" s="1" t="n">
        <v>44910</v>
      </c>
      <c r="C52" s="1" t="n">
        <v>46192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63592-2023</t>
        </is>
      </c>
      <c r="B53" s="1" t="n">
        <v>45275</v>
      </c>
      <c r="C53" s="1" t="n">
        <v>46192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43230-2022</t>
        </is>
      </c>
      <c r="B54" s="1" t="n">
        <v>44834</v>
      </c>
      <c r="C54" s="1" t="n">
        <v>46192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</v>
      </c>
      <c r="C55" s="1" t="n">
        <v>46192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18222-2025</t>
        </is>
      </c>
      <c r="B56" s="1" t="n">
        <v>45761</v>
      </c>
      <c r="C56" s="1" t="n">
        <v>46192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52963-2022</t>
        </is>
      </c>
      <c r="B57" s="1" t="n">
        <v>44875</v>
      </c>
      <c r="C57" s="1" t="n">
        <v>46192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11430-2022</t>
        </is>
      </c>
      <c r="B58" s="1" t="n">
        <v>44630</v>
      </c>
      <c r="C58" s="1" t="n">
        <v>46192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11045-2026</t>
        </is>
      </c>
      <c r="B59" s="1" t="n">
        <v>46079</v>
      </c>
      <c r="C59" s="1" t="n">
        <v>46192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2177-2024</t>
        </is>
      </c>
      <c r="B60" s="1" t="n">
        <v>45309</v>
      </c>
      <c r="C60" s="1" t="n">
        <v>46192</v>
      </c>
      <c r="D60" t="inlineStr">
        <is>
          <t>STOCKHOLMS LÄN</t>
        </is>
      </c>
      <c r="E60" t="inlineStr">
        <is>
          <t>NYKVARN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40168-2023</t>
        </is>
      </c>
      <c r="B61" s="1" t="n">
        <v>45169</v>
      </c>
      <c r="C61" s="1" t="n">
        <v>46192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23284-2025</t>
        </is>
      </c>
      <c r="B62" s="1" t="n">
        <v>45791</v>
      </c>
      <c r="C62" s="1" t="n">
        <v>46192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46192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23655-2025</t>
        </is>
      </c>
      <c r="B64" s="1" t="n">
        <v>45792</v>
      </c>
      <c r="C64" s="1" t="n">
        <v>46192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24283-2022</t>
        </is>
      </c>
      <c r="B65" s="1" t="n">
        <v>44725</v>
      </c>
      <c r="C65" s="1" t="n">
        <v>46192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8096-2023</t>
        </is>
      </c>
      <c r="B66" s="1" t="n">
        <v>44974</v>
      </c>
      <c r="C66" s="1" t="n">
        <v>46192</v>
      </c>
      <c r="D66" t="inlineStr">
        <is>
          <t>STOCKHOLMS LÄN</t>
        </is>
      </c>
      <c r="E66" t="inlineStr">
        <is>
          <t>NYKVARN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28598-2025</t>
        </is>
      </c>
      <c r="B67" s="1" t="n">
        <v>45819</v>
      </c>
      <c r="C67" s="1" t="n">
        <v>46192</v>
      </c>
      <c r="D67" t="inlineStr">
        <is>
          <t>STOCKHOLMS LÄN</t>
        </is>
      </c>
      <c r="E67" t="inlineStr">
        <is>
          <t>NYKVARN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54583-2023</t>
        </is>
      </c>
      <c r="B68" s="1" t="n">
        <v>45233</v>
      </c>
      <c r="C68" s="1" t="n">
        <v>46192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54670-2023</t>
        </is>
      </c>
      <c r="B69" s="1" t="n">
        <v>45235</v>
      </c>
      <c r="C69" s="1" t="n">
        <v>46192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18780-2026</t>
        </is>
      </c>
      <c r="B70" s="1" t="n">
        <v>46128</v>
      </c>
      <c r="C70" s="1" t="n">
        <v>46192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24796-2026</t>
        </is>
      </c>
      <c r="B71" s="1" t="n">
        <v>46171</v>
      </c>
      <c r="C71" s="1" t="n">
        <v>46192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17328-2025</t>
        </is>
      </c>
      <c r="B72" s="1" t="n">
        <v>45756</v>
      </c>
      <c r="C72" s="1" t="n">
        <v>46192</v>
      </c>
      <c r="D72" t="inlineStr">
        <is>
          <t>STOCKHOLMS LÄN</t>
        </is>
      </c>
      <c r="E72" t="inlineStr">
        <is>
          <t>NYKVARN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19217-2026</t>
        </is>
      </c>
      <c r="B73" s="1" t="n">
        <v>46132</v>
      </c>
      <c r="C73" s="1" t="n">
        <v>46192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56639-2023</t>
        </is>
      </c>
      <c r="B74" s="1" t="n">
        <v>45243</v>
      </c>
      <c r="C74" s="1" t="n">
        <v>46192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63400-2023</t>
        </is>
      </c>
      <c r="B75" s="1" t="n">
        <v>45274</v>
      </c>
      <c r="C75" s="1" t="n">
        <v>46192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19487-2023</t>
        </is>
      </c>
      <c r="B76" s="1" t="n">
        <v>45050</v>
      </c>
      <c r="C76" s="1" t="n">
        <v>46192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18793-2023</t>
        </is>
      </c>
      <c r="B77" s="1" t="n">
        <v>45044</v>
      </c>
      <c r="C77" s="1" t="n">
        <v>46192</v>
      </c>
      <c r="D77" t="inlineStr">
        <is>
          <t>STOCKHOLMS LÄN</t>
        </is>
      </c>
      <c r="E77" t="inlineStr">
        <is>
          <t>NYKVARN</t>
        </is>
      </c>
      <c r="F77" t="inlineStr">
        <is>
          <t>Kyrkan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50020-2023</t>
        </is>
      </c>
      <c r="B78" s="1" t="n">
        <v>45215</v>
      </c>
      <c r="C78" s="1" t="n">
        <v>46192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2026-06-19T00:47:24Z</dcterms:created>
  <dcterms:modified xmlns:dcterms="http://purl.org/dc/terms/" xmlns:xsi="http://www.w3.org/2001/XMLSchema-instance" xsi:type="dcterms:W3CDTF">2026-06-19T00:47:24Z</dcterms:modified>
</cp:coreProperties>
</file>