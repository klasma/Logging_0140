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46250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46250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46250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46250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46250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46250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46250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46250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46250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8285-2022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44610</v>
      </c>
      <c r="E14" s="1" t="n">
        <v>46250</v>
      </c>
      <c r="F14" t="inlineStr">
        <is>
          <t>STOCKHOLMS LÄN</t>
        </is>
      </c>
      <c r="G14" t="inlineStr">
        <is>
          <t>NYKVARN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8285-2022 artfynd.xlsx", "A 8285-2022")</f>
        <v/>
      </c>
      <c r="X14">
        <f>HYPERLINK("https://klasma.github.io/Logging_0140/kartor/A 8285-2022 karta.png", "A 8285-2022")</f>
        <v/>
      </c>
      <c r="Y14">
        <f>HYPERLINK("https://klasma.github.io/Logging_0140/kartor_geotiff/A 8285-2022 georefererad karta.tif", "A 8285-2022")</f>
        <v/>
      </c>
      <c r="AA14">
        <f>HYPERLINK("https://klasma.github.io/Logging_0140/klagomål/A 8285-2022 FSC-klagomål.docx", "A 8285-2022")</f>
        <v/>
      </c>
      <c r="AB14">
        <f>HYPERLINK("https://klasma.github.io/Logging_0140/klagomålsmail/A 8285-2022 FSC-klagomål mail.docx", "A 8285-2022")</f>
        <v/>
      </c>
      <c r="AC14">
        <f>HYPERLINK("https://klasma.github.io/Logging_0140/tillsyn/A 8285-2022 tillsynsbegäran.docx", "A 8285-2022")</f>
        <v/>
      </c>
      <c r="AD14">
        <f>HYPERLINK("https://klasma.github.io/Logging_0140/tillsynsmail/A 8285-2022 tillsynsbegäran mail.docx", "A 8285-2022")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46250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46250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23279-2025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46250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23279-2025 artfynd.xlsx", "A 23279-2025")</f>
        <v/>
      </c>
      <c r="X17">
        <f>HYPERLINK("https://klasma.github.io/Logging_0140/kartor/A 23279-2025 karta.png", "A 23279-2025")</f>
        <v/>
      </c>
      <c r="Y17">
        <f>HYPERLINK("https://klasma.github.io/Logging_0140/kartor_geotiff/A 23279-2025 georefererad karta.tif", "A 23279-2025")</f>
        <v/>
      </c>
      <c r="AA17">
        <f>HYPERLINK("https://klasma.github.io/Logging_0140/klagomål/A 23279-2025 FSC-klagomål.docx", "A 23279-2025")</f>
        <v/>
      </c>
      <c r="AB17">
        <f>HYPERLINK("https://klasma.github.io/Logging_0140/klagomålsmail/A 23279-2025 FSC-klagomål mail.docx", "A 23279-2025")</f>
        <v/>
      </c>
      <c r="AC17">
        <f>HYPERLINK("https://klasma.github.io/Logging_0140/tillsyn/A 23279-2025 tillsynsbegäran.docx", "A 23279-2025")</f>
        <v/>
      </c>
      <c r="AD17">
        <f>HYPERLINK("https://klasma.github.io/Logging_0140/tillsynsmail/A 23279-2025 tillsynsbegäran mail.docx", "A 23279-2025")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46250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46250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46250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46250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46250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46250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46250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46250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46250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46250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46250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63400-2023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45274</v>
      </c>
      <c r="E31" s="1" t="n">
        <v>46250</v>
      </c>
      <c r="F31" t="inlineStr">
        <is>
          <t>STOCKHOLMS LÄN</t>
        </is>
      </c>
      <c r="G31" t="inlineStr">
        <is>
          <t>NYKVARN</t>
        </is>
      </c>
      <c r="H31" t="inlineStr">
        <is>
          <t>Kommuner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46250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46250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41681-2023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46250</v>
      </c>
      <c r="F34" t="inlineStr">
        <is>
          <t>STOCKHOLMS LÄN</t>
        </is>
      </c>
      <c r="G34" t="inlineStr">
        <is>
          <t>NYKVARN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46250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46250</v>
      </c>
      <c r="F36" t="inlineStr">
        <is>
          <t>STOCKHOLMS LÄN</t>
        </is>
      </c>
      <c r="G36" t="inlineStr">
        <is>
          <t>NYKVARN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44974</v>
      </c>
      <c r="E37" s="1" t="n">
        <v>46250</v>
      </c>
      <c r="F37" t="inlineStr">
        <is>
          <t>STOCKHOLMS LÄN</t>
        </is>
      </c>
      <c r="G37" t="inlineStr">
        <is>
          <t>NYKVARN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46250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44713</v>
      </c>
      <c r="E39" s="1" t="n">
        <v>46250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46250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46250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46250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46250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46250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46250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46250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45054</v>
      </c>
      <c r="E47" s="1" t="n">
        <v>46250</v>
      </c>
      <c r="F47" t="inlineStr">
        <is>
          <t>STOCKHOLMS LÄN</t>
        </is>
      </c>
      <c r="G47" t="inlineStr">
        <is>
          <t>NYKVARN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46250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46250</v>
      </c>
      <c r="F49" t="inlineStr">
        <is>
          <t>STOCKHOLMS LÄN</t>
        </is>
      </c>
      <c r="G49" t="inlineStr">
        <is>
          <t>NYKVARN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46250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46250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46250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44730</v>
      </c>
      <c r="E53" s="1" t="n">
        <v>46250</v>
      </c>
      <c r="F53" t="inlineStr">
        <is>
          <t>STOCKHOLMS LÄN</t>
        </is>
      </c>
      <c r="G53" t="inlineStr">
        <is>
          <t>NYKVARN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51813-2024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46250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45989</v>
      </c>
      <c r="E55" s="1" t="n">
        <v>46250</v>
      </c>
      <c r="F55" t="inlineStr">
        <is>
          <t>STOCKHOLMS LÄN</t>
        </is>
      </c>
      <c r="G55" t="inlineStr">
        <is>
          <t>NYKVARN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46250</v>
      </c>
      <c r="F56" t="inlineStr">
        <is>
          <t>STOCKHOLMS LÄN</t>
        </is>
      </c>
      <c r="G56" t="inlineStr">
        <is>
          <t>NYKVARN</t>
        </is>
      </c>
      <c r="H56" t="inlineStr">
        <is>
          <t>Kyrkan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46250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46250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46250</v>
      </c>
      <c r="F59" t="inlineStr">
        <is>
          <t>STOCKHOLMS LÄN</t>
        </is>
      </c>
      <c r="G59" t="inlineStr">
        <is>
          <t>NYKVARN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46250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46250</v>
      </c>
      <c r="F61" t="inlineStr">
        <is>
          <t>STOCKHOLMS LÄN</t>
        </is>
      </c>
      <c r="G61" t="inlineStr">
        <is>
          <t>NYKVARN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46250</v>
      </c>
      <c r="F62" t="inlineStr">
        <is>
          <t>STOCKHOLMS LÄN</t>
        </is>
      </c>
      <c r="G62" t="inlineStr">
        <is>
          <t>NYKVARN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46250</v>
      </c>
      <c r="F63" t="inlineStr">
        <is>
          <t>STOCKHOLMS LÄN</t>
        </is>
      </c>
      <c r="G63" t="inlineStr">
        <is>
          <t>NYKVARN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46250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46250</v>
      </c>
      <c r="F65" t="inlineStr">
        <is>
          <t>STOCKHOLMS LÄN</t>
        </is>
      </c>
      <c r="G65" t="inlineStr">
        <is>
          <t>NYKVARN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46250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46250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11.3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46250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44630</v>
      </c>
      <c r="E69" s="1" t="n">
        <v>46250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46250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63586-2023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45275</v>
      </c>
      <c r="E71" s="1" t="n">
        <v>46250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32555-2023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45121</v>
      </c>
      <c r="E72" s="1" t="n">
        <v>46250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46250</v>
      </c>
      <c r="F73" t="inlineStr">
        <is>
          <t>STOCKHOLMS LÄN</t>
        </is>
      </c>
      <c r="G73" t="inlineStr">
        <is>
          <t>NYKVARN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46250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46171</v>
      </c>
      <c r="E75" s="1" t="n">
        <v>46250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46250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46250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46250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46250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46250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46250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46250</v>
      </c>
      <c r="F82" t="inlineStr">
        <is>
          <t>STOCKHOLMS LÄN</t>
        </is>
      </c>
      <c r="G82" t="inlineStr">
        <is>
          <t>NYKVARN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46250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46250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2026-08-16T01:43:54Z</dcterms:created>
  <dcterms:modified xmlns:dcterms="http://purl.org/dc/terms/" xmlns:xsi="http://www.w3.org/2001/XMLSchema-instance" xsi:type="dcterms:W3CDTF">2026-08-16T01:43:54Z</dcterms:modified>
</cp:coreProperties>
</file>